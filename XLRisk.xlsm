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132b1b6afe34a3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ria\Documents\Excel\XLRisk\"/>
    </mc:Choice>
  </mc:AlternateContent>
  <xr:revisionPtr revIDLastSave="0" documentId="13_ncr:1_{C148A6AF-15D3-4A61-939C-07BE74A28DE0}" xr6:coauthVersionLast="36" xr6:coauthVersionMax="40" xr10:uidLastSave="{00000000-0000-0000-0000-000000000000}"/>
  <bookViews>
    <workbookView xWindow="0" yWindow="462" windowWidth="28800" windowHeight="16458" activeTab="2" xr2:uid="{F239721A-ED01-4FED-B3AD-BDC4696F47C0}"/>
  </bookViews>
  <sheets>
    <sheet name="Sheet1" sheetId="1" r:id="rId1"/>
    <sheet name="XLRisk" sheetId="2" r:id="rId2"/>
    <sheet name="Risk Results 1" sheetId="3" r:id="rId3"/>
  </sheets>
  <functionGroups builtInGroupCount="19">
    <functionGroup name="XLRisk"/>
  </functionGroups>
  <externalReferences>
    <externalReference r:id="rId4"/>
  </externalReferences>
  <definedNames>
    <definedName name="_xlchart.v1.0" hidden="1">'Risk Results 1'!$B$4:$B$1003</definedName>
    <definedName name="_xlchart.v1.1" hidden="1">'Risk Results 1'!$B$4:$B$1003</definedName>
    <definedName name="_xlchart.v1.2" hidden="1">'Risk Results 1'!$B$4:$B$1003</definedName>
    <definedName name="dt">[1]SpreadSim!$B$4</definedName>
    <definedName name="Iterations">XLRisk!$B$4</definedName>
    <definedName name="OutputResults">#REF!</definedName>
    <definedName name="RiskInputs">XLRisk!$D$3</definedName>
    <definedName name="RiskOutputs">XLRisk!$G$3</definedName>
    <definedName name="RiskSimSetup">#REF!</definedName>
    <definedName name="ScreenUpdate">XLRisk!$B$3</definedName>
    <definedName name="Seed">XLRisk!$B$2</definedName>
    <definedName name="SimStats">#REF!</definedName>
    <definedName name="SimTime">[1]SpreadSim!$B$9</definedName>
    <definedName name="XLRiskSetup">XLRisk!$A$1</definedName>
  </definedNames>
  <calcPr calcId="191029" calcMode="manual"/>
  <extLst>
    <ext xmlns:x14="http://schemas.microsoft.com/office/spreadsheetml/2009/9/main" uri="{8193D73E-4604-4355-AFF4-8A2333D13BE4}">
      <x14:definedNames>
        <x14:definedName name="risknormal">
          <x14:argumentDescriptions count="2">
            <x14:argumentDescription index="0">Mean</x14:argumentDescription>
            <x14:argumentDescription index="1">Standard Deviation</x14:argumentDescription>
          </x14:argumentDescriptions>
        </x14:definedName>
        <x14:definedName name="riskuniform">
          <x14:argumentDescriptions count="2">
            <x14:argumentDescription index="0">Minimum value</x14:argumentDescription>
            <x14:argumentDescription index="1">Maximum Value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39" i="3" l="1"/>
  <c r="M39" i="3"/>
  <c r="L39" i="3"/>
  <c r="K39" i="3"/>
  <c r="N38" i="3"/>
  <c r="M38" i="3"/>
  <c r="L38" i="3"/>
  <c r="K38" i="3"/>
  <c r="N37" i="3"/>
  <c r="M37" i="3"/>
  <c r="L37" i="3"/>
  <c r="K37" i="3"/>
  <c r="N36" i="3"/>
  <c r="M36" i="3"/>
  <c r="L36" i="3"/>
  <c r="K36" i="3"/>
  <c r="N35" i="3"/>
  <c r="M35" i="3"/>
  <c r="L35" i="3"/>
  <c r="K35" i="3"/>
  <c r="N34" i="3"/>
  <c r="M34" i="3"/>
  <c r="L34" i="3"/>
  <c r="K34" i="3"/>
  <c r="N33" i="3"/>
  <c r="M33" i="3"/>
  <c r="L33" i="3"/>
  <c r="K33" i="3"/>
  <c r="N32" i="3"/>
  <c r="M32" i="3"/>
  <c r="L32" i="3"/>
  <c r="K32" i="3"/>
  <c r="N31" i="3"/>
  <c r="M31" i="3"/>
  <c r="L31" i="3"/>
  <c r="K31" i="3"/>
  <c r="N30" i="3"/>
  <c r="M30" i="3"/>
  <c r="L30" i="3"/>
  <c r="K30" i="3"/>
  <c r="N29" i="3"/>
  <c r="M29" i="3"/>
  <c r="L29" i="3"/>
  <c r="K29" i="3"/>
  <c r="N28" i="3"/>
  <c r="M28" i="3"/>
  <c r="L28" i="3"/>
  <c r="K28" i="3"/>
  <c r="N27" i="3"/>
  <c r="M27" i="3"/>
  <c r="L27" i="3"/>
  <c r="K27" i="3"/>
  <c r="N26" i="3"/>
  <c r="M26" i="3"/>
  <c r="L26" i="3"/>
  <c r="K26" i="3"/>
  <c r="N25" i="3"/>
  <c r="M25" i="3"/>
  <c r="L25" i="3"/>
  <c r="K25" i="3"/>
  <c r="N24" i="3"/>
  <c r="M24" i="3"/>
  <c r="L24" i="3"/>
  <c r="K24" i="3"/>
  <c r="N23" i="3"/>
  <c r="M23" i="3"/>
  <c r="L23" i="3"/>
  <c r="K23" i="3"/>
  <c r="N22" i="3"/>
  <c r="M22" i="3"/>
  <c r="L22" i="3"/>
  <c r="K22" i="3"/>
  <c r="N21" i="3"/>
  <c r="M21" i="3"/>
  <c r="L21" i="3"/>
  <c r="K21" i="3"/>
  <c r="N20" i="3"/>
  <c r="M20" i="3"/>
  <c r="L20" i="3"/>
  <c r="K20" i="3"/>
  <c r="N19" i="3"/>
  <c r="M19" i="3"/>
  <c r="L19" i="3"/>
  <c r="K19" i="3"/>
  <c r="N15" i="3"/>
  <c r="N15" i="3" a="1"/>
  <c r="M15" i="3" a="1"/>
  <c r="M15" i="3" s="1"/>
  <c r="L15" i="3"/>
  <c r="L15" i="3" a="1"/>
  <c r="K15" i="3" a="1"/>
  <c r="K15" i="3" s="1"/>
  <c r="N14" i="3"/>
  <c r="M14" i="3"/>
  <c r="L14" i="3"/>
  <c r="K14" i="3"/>
  <c r="N12" i="3"/>
  <c r="M12" i="3"/>
  <c r="M13" i="3" s="1"/>
  <c r="L12" i="3"/>
  <c r="L13" i="3" s="1"/>
  <c r="K12" i="3"/>
  <c r="K13" i="3" s="1"/>
  <c r="N11" i="3"/>
  <c r="N13" i="3" s="1"/>
  <c r="M11" i="3"/>
  <c r="L11" i="3"/>
  <c r="K11" i="3"/>
  <c r="N10" i="3"/>
  <c r="M10" i="3"/>
  <c r="L10" i="3"/>
  <c r="K10" i="3"/>
  <c r="N9" i="3"/>
  <c r="M9" i="3"/>
  <c r="L9" i="3"/>
  <c r="K9" i="3"/>
  <c r="N8" i="3"/>
  <c r="M8" i="3"/>
  <c r="L8" i="3"/>
  <c r="K8" i="3"/>
  <c r="N7" i="3"/>
  <c r="N17" i="3" s="1"/>
  <c r="M7" i="3"/>
  <c r="M16" i="3" s="1"/>
  <c r="L7" i="3"/>
  <c r="L16" i="3" s="1"/>
  <c r="K7" i="3"/>
  <c r="K16" i="3" s="1"/>
  <c r="N6" i="3"/>
  <c r="M6" i="3"/>
  <c r="L6" i="3"/>
  <c r="K6" i="3"/>
  <c r="N5" i="3"/>
  <c r="M5" i="3"/>
  <c r="L5" i="3"/>
  <c r="K5" i="3"/>
  <c r="N4" i="3"/>
  <c r="M4" i="3"/>
  <c r="L4" i="3"/>
  <c r="K4" i="3"/>
  <c r="B1" i="1"/>
  <c r="B3" i="1"/>
  <c r="B2" i="1"/>
  <c r="B5" i="1" l="1"/>
  <c r="K17" i="3"/>
  <c r="L17" i="3"/>
  <c r="M17" i="3"/>
  <c r="N16" i="3"/>
</calcChain>
</file>

<file path=xl/sharedStrings.xml><?xml version="1.0" encoding="utf-8"?>
<sst xmlns="http://schemas.openxmlformats.org/spreadsheetml/2006/main" count="62" uniqueCount="39">
  <si>
    <t>RiskNormal</t>
  </si>
  <si>
    <t>RiskUniform</t>
  </si>
  <si>
    <t>RiskTriang</t>
  </si>
  <si>
    <t>Simulation Settings</t>
  </si>
  <si>
    <t>Seed</t>
  </si>
  <si>
    <t>Update Screen</t>
  </si>
  <si>
    <t>Iterations</t>
  </si>
  <si>
    <t>Simulation Inputs</t>
  </si>
  <si>
    <t>Range</t>
  </si>
  <si>
    <t>Formula</t>
  </si>
  <si>
    <t>Simulation Outputs</t>
  </si>
  <si>
    <t>Name</t>
  </si>
  <si>
    <t>Sheet1'!$B$1</t>
  </si>
  <si>
    <t>risknormal(10,1)</t>
  </si>
  <si>
    <t>Sheet1'!$B$2</t>
  </si>
  <si>
    <t>riskuniform(2,5)</t>
  </si>
  <si>
    <t>Sheet1'!$B$3</t>
  </si>
  <si>
    <t>risktriang(10,12,15)</t>
  </si>
  <si>
    <t>Test</t>
  </si>
  <si>
    <t>'Sheet1'!$B$5</t>
  </si>
  <si>
    <t>Sum</t>
  </si>
  <si>
    <t>Inputs</t>
  </si>
  <si>
    <t>Outputs</t>
  </si>
  <si>
    <t>Sheet1'!$B$5</t>
  </si>
  <si>
    <t>Simulation Statistics</t>
  </si>
  <si>
    <t>Mean</t>
  </si>
  <si>
    <t>Median</t>
  </si>
  <si>
    <t>Mode</t>
  </si>
  <si>
    <t>Std. Deviation</t>
  </si>
  <si>
    <t>Variance</t>
  </si>
  <si>
    <t>Kurtosis</t>
  </si>
  <si>
    <t>Skewness</t>
  </si>
  <si>
    <t>Minimum</t>
  </si>
  <si>
    <t>Maximum</t>
  </si>
  <si>
    <t>Count</t>
  </si>
  <si>
    <t>Error Count</t>
  </si>
  <si>
    <t>Std. Error</t>
  </si>
  <si>
    <t>Confidence Level (95%)</t>
  </si>
  <si>
    <t>Percentiles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</si>
</sst>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9" fontId="0" fillId="0" borderId="0" xfId="0" applyNumberFormat="1" applyAlignment="1">
      <alignment horizontal="righ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/>
    <cx:plotArea>
      <cx:plotAreaRegion>
        <cx:series layoutId="clusteredColumn" uniqueId="{1DF4E4C0-ABF0-4363-B167-46EA6E300ABA}">
          <cx:dataLabels pos="inEnd">
            <cx:visibility seriesName="0" categoryName="0" value="1"/>
          </cx:dataLabels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76201</xdr:colOff>
      <xdr:row>2</xdr:row>
      <xdr:rowOff>38101</xdr:rowOff>
    </xdr:from>
    <xdr:to>
      <xdr:col>26</xdr:col>
      <xdr:colOff>34291</xdr:colOff>
      <xdr:row>25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1596657F-0424-4575-9D44-A9FE13BAD1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35941" y="403861"/>
              <a:ext cx="6998970" cy="41681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preadSi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i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279B-F8F4-47C8-8455-CAE6C0A4CA24}">
  <sheetPr codeName="Sheet1"/>
  <dimension ref="A1:B5"/>
  <sheetViews>
    <sheetView zoomScaleNormal="100" workbookViewId="0">
      <selection activeCell="B18" sqref="B18"/>
    </sheetView>
  </sheetViews>
  <sheetFormatPr defaultColWidth="8.83984375" defaultRowHeight="14.4" x14ac:dyDescent="0.55000000000000004"/>
  <cols>
    <col min="1" max="1" width="10.3125" bestFit="1" customWidth="1"/>
    <col min="2" max="2" width="11.68359375" bestFit="1" customWidth="1"/>
  </cols>
  <sheetData>
    <row r="1" spans="1:2" x14ac:dyDescent="0.55000000000000004">
      <c r="A1" t="s">
        <v>0</v>
      </c>
      <c r="B1" s="1">
        <f ca="1">risknormal(10,1)</f>
        <v>10.754599369980273</v>
      </c>
    </row>
    <row r="2" spans="1:2" x14ac:dyDescent="0.55000000000000004">
      <c r="A2" t="s">
        <v>1</v>
      </c>
      <c r="B2" s="1">
        <f ca="1">riskuniform(2,5)</f>
        <v>2.1215704083442688</v>
      </c>
    </row>
    <row r="3" spans="1:2" x14ac:dyDescent="0.55000000000000004">
      <c r="A3" t="s">
        <v>2</v>
      </c>
      <c r="B3" s="1">
        <f ca="1">risktriang(10,12,15)</f>
        <v>11.703755253358999</v>
      </c>
    </row>
    <row r="5" spans="1:2" x14ac:dyDescent="0.55000000000000004">
      <c r="B5">
        <f ca="1">SUM(B1:B3)</f>
        <v>24.57992503168354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98BAC-2259-4687-AB55-B349960B3C7E}">
  <sheetPr codeName="Sheet2"/>
  <dimension ref="A1:H6"/>
  <sheetViews>
    <sheetView workbookViewId="0">
      <selection activeCell="G4" sqref="G4:H5"/>
    </sheetView>
  </sheetViews>
  <sheetFormatPr defaultColWidth="8.83984375" defaultRowHeight="14.4" x14ac:dyDescent="0.55000000000000004"/>
  <cols>
    <col min="1" max="1" width="16.3125" bestFit="1" customWidth="1"/>
    <col min="4" max="4" width="11.20703125" bestFit="1" customWidth="1"/>
    <col min="5" max="5" width="16.15625" bestFit="1" customWidth="1"/>
    <col min="7" max="7" width="11.62890625" bestFit="1" customWidth="1"/>
    <col min="8" max="8" width="5.47265625" bestFit="1" customWidth="1"/>
  </cols>
  <sheetData>
    <row r="1" spans="1:8" x14ac:dyDescent="0.55000000000000004">
      <c r="A1" s="2" t="s">
        <v>3</v>
      </c>
      <c r="D1" s="2" t="s">
        <v>7</v>
      </c>
      <c r="E1" s="2"/>
      <c r="G1" s="2" t="s">
        <v>10</v>
      </c>
      <c r="H1" s="2"/>
    </row>
    <row r="2" spans="1:8" x14ac:dyDescent="0.55000000000000004">
      <c r="A2" s="3" t="s">
        <v>4</v>
      </c>
      <c r="B2">
        <v>0</v>
      </c>
      <c r="D2" s="2"/>
      <c r="E2" s="2"/>
      <c r="G2" s="2"/>
      <c r="H2" s="2"/>
    </row>
    <row r="3" spans="1:8" x14ac:dyDescent="0.55000000000000004">
      <c r="A3" s="3" t="s">
        <v>5</v>
      </c>
      <c r="B3" t="b">
        <v>0</v>
      </c>
      <c r="D3" s="2" t="s">
        <v>8</v>
      </c>
      <c r="E3" s="2" t="s">
        <v>9</v>
      </c>
      <c r="G3" s="2" t="s">
        <v>8</v>
      </c>
      <c r="H3" s="2" t="s">
        <v>11</v>
      </c>
    </row>
    <row r="4" spans="1:8" x14ac:dyDescent="0.55000000000000004">
      <c r="A4" s="3" t="s">
        <v>6</v>
      </c>
      <c r="B4">
        <v>1000</v>
      </c>
      <c r="D4" s="1" t="s">
        <v>12</v>
      </c>
      <c r="E4" t="s">
        <v>13</v>
      </c>
      <c r="G4" s="1" t="s">
        <v>19</v>
      </c>
      <c r="H4" t="s">
        <v>20</v>
      </c>
    </row>
    <row r="5" spans="1:8" x14ac:dyDescent="0.55000000000000004">
      <c r="D5" s="1" t="s">
        <v>14</v>
      </c>
      <c r="E5" t="s">
        <v>15</v>
      </c>
      <c r="G5" s="1"/>
    </row>
    <row r="6" spans="1:8" x14ac:dyDescent="0.55000000000000004">
      <c r="D6" s="1" t="s">
        <v>16</v>
      </c>
      <c r="E6" t="s">
        <v>17</v>
      </c>
      <c r="G6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5E19E-E51C-46CE-BFAB-EE1F97FF81F1}">
  <sheetPr codeName="Sheet3"/>
  <dimension ref="A1:N1003"/>
  <sheetViews>
    <sheetView tabSelected="1" topLeftCell="I1" workbookViewId="0">
      <selection activeCell="K2" sqref="K2"/>
    </sheetView>
  </sheetViews>
  <sheetFormatPr defaultRowHeight="14.4" x14ac:dyDescent="0.55000000000000004"/>
  <cols>
    <col min="1" max="1" width="8.20703125" bestFit="1" customWidth="1"/>
    <col min="2" max="2" width="13.7890625" bestFit="1" customWidth="1"/>
    <col min="3" max="3" width="13.41796875" bestFit="1" customWidth="1"/>
    <col min="4" max="4" width="16.15625" bestFit="1" customWidth="1"/>
    <col min="5" max="8" width="11.68359375" bestFit="1" customWidth="1"/>
    <col min="10" max="10" width="19.05078125" bestFit="1" customWidth="1"/>
    <col min="11" max="14" width="11.68359375" bestFit="1" customWidth="1"/>
  </cols>
  <sheetData>
    <row r="1" spans="1:14" x14ac:dyDescent="0.55000000000000004">
      <c r="A1" s="4"/>
      <c r="B1" s="7" t="s">
        <v>21</v>
      </c>
      <c r="C1" s="7"/>
      <c r="D1" s="7"/>
      <c r="E1" s="7" t="s">
        <v>22</v>
      </c>
      <c r="F1" s="7"/>
      <c r="G1" s="7"/>
      <c r="H1" s="7"/>
      <c r="I1" s="7" t="s">
        <v>24</v>
      </c>
      <c r="J1" s="7"/>
      <c r="K1" s="7"/>
      <c r="L1" s="7"/>
      <c r="M1" s="7"/>
      <c r="N1" s="4"/>
    </row>
    <row r="2" spans="1:14" x14ac:dyDescent="0.55000000000000004">
      <c r="A2" s="4"/>
      <c r="B2" s="5" t="s">
        <v>12</v>
      </c>
      <c r="C2" s="5" t="s">
        <v>14</v>
      </c>
      <c r="D2" s="5" t="s">
        <v>16</v>
      </c>
      <c r="E2" s="5" t="s">
        <v>12</v>
      </c>
      <c r="F2" s="5" t="s">
        <v>14</v>
      </c>
      <c r="G2" s="5" t="s">
        <v>16</v>
      </c>
      <c r="H2" s="5" t="s">
        <v>23</v>
      </c>
      <c r="I2" s="4"/>
      <c r="J2" s="4"/>
      <c r="K2" s="5" t="s">
        <v>12</v>
      </c>
      <c r="L2" s="5" t="s">
        <v>14</v>
      </c>
      <c r="M2" s="5" t="s">
        <v>16</v>
      </c>
      <c r="N2" s="5" t="s">
        <v>23</v>
      </c>
    </row>
    <row r="3" spans="1:14" x14ac:dyDescent="0.55000000000000004">
      <c r="A3" s="4" t="s">
        <v>6</v>
      </c>
      <c r="B3" s="4" t="s">
        <v>13</v>
      </c>
      <c r="C3" s="4" t="s">
        <v>15</v>
      </c>
      <c r="D3" s="4" t="s">
        <v>17</v>
      </c>
      <c r="E3" s="4" t="s">
        <v>18</v>
      </c>
      <c r="F3" s="4" t="s">
        <v>18</v>
      </c>
      <c r="G3" s="4" t="s">
        <v>18</v>
      </c>
      <c r="H3" s="4" t="s">
        <v>20</v>
      </c>
      <c r="I3" s="4"/>
      <c r="J3" s="4"/>
      <c r="K3" s="4" t="s">
        <v>18</v>
      </c>
      <c r="L3" s="4" t="s">
        <v>18</v>
      </c>
      <c r="M3" s="4" t="s">
        <v>18</v>
      </c>
      <c r="N3" s="4" t="s">
        <v>20</v>
      </c>
    </row>
    <row r="4" spans="1:14" x14ac:dyDescent="0.55000000000000004">
      <c r="A4">
        <v>1</v>
      </c>
      <c r="B4">
        <v>8.2349496190217444</v>
      </c>
      <c r="C4">
        <v>3.5472630262374878</v>
      </c>
      <c r="D4">
        <v>12.416941940709805</v>
      </c>
      <c r="E4">
        <v>8.2349496190217444</v>
      </c>
      <c r="F4">
        <v>3.5472630262374878</v>
      </c>
      <c r="G4">
        <v>12.416941940709805</v>
      </c>
      <c r="H4">
        <v>24.199154585969037</v>
      </c>
      <c r="J4" t="s">
        <v>25</v>
      </c>
      <c r="K4">
        <f>AVERAGE(E4:E1003)</f>
        <v>10.036850773991485</v>
      </c>
      <c r="L4">
        <f>AVERAGE(F4:F1003)</f>
        <v>3.5152550337314605</v>
      </c>
      <c r="M4">
        <f>AVERAGE(G4:G1003)</f>
        <v>12.306760032244313</v>
      </c>
      <c r="N4">
        <f>AVERAGE(H4:H1003)</f>
        <v>25.858865839967237</v>
      </c>
    </row>
    <row r="5" spans="1:14" x14ac:dyDescent="0.55000000000000004">
      <c r="A5">
        <v>2</v>
      </c>
      <c r="B5">
        <v>9.9209494388123982</v>
      </c>
      <c r="C5">
        <v>4.2433379292488098</v>
      </c>
      <c r="D5">
        <v>12.854197227670962</v>
      </c>
      <c r="E5">
        <v>9.9209494388123982</v>
      </c>
      <c r="F5">
        <v>4.2433379292488098</v>
      </c>
      <c r="G5">
        <v>12.854197227670962</v>
      </c>
      <c r="H5">
        <v>27.018484595732168</v>
      </c>
      <c r="J5" t="s">
        <v>26</v>
      </c>
      <c r="K5">
        <f>MEDIAN(E4:E1003)</f>
        <v>10.009607521086224</v>
      </c>
      <c r="L5">
        <f>MEDIAN(F4:F1003)</f>
        <v>3.5464762449264526</v>
      </c>
      <c r="M5">
        <f>MEDIAN(G4:G1003)</f>
        <v>12.218050264693371</v>
      </c>
      <c r="N5">
        <f>MEDIAN(H4:H1003)</f>
        <v>25.842672346398036</v>
      </c>
    </row>
    <row r="6" spans="1:14" x14ac:dyDescent="0.55000000000000004">
      <c r="A6">
        <v>3</v>
      </c>
      <c r="B6">
        <v>10.130274126968603</v>
      </c>
      <c r="C6">
        <v>3.7010855674743652</v>
      </c>
      <c r="D6">
        <v>13.445969744490798</v>
      </c>
      <c r="E6">
        <v>10.130274126968603</v>
      </c>
      <c r="F6">
        <v>3.7010855674743652</v>
      </c>
      <c r="G6">
        <v>13.445969744490798</v>
      </c>
      <c r="H6">
        <v>27.277329438933766</v>
      </c>
      <c r="J6" t="s">
        <v>27</v>
      </c>
      <c r="K6" t="e">
        <f>_xlfn.MODE.SNGL(E4:E1003)</f>
        <v>#N/A</v>
      </c>
      <c r="L6" t="e">
        <f>_xlfn.MODE.SNGL(F4:F1003)</f>
        <v>#N/A</v>
      </c>
      <c r="M6" t="e">
        <f>_xlfn.MODE.SNGL(G4:G1003)</f>
        <v>#N/A</v>
      </c>
      <c r="N6" t="e">
        <f>_xlfn.MODE.SNGL(H4:H1003)</f>
        <v>#N/A</v>
      </c>
    </row>
    <row r="7" spans="1:14" x14ac:dyDescent="0.55000000000000004">
      <c r="A7">
        <v>4</v>
      </c>
      <c r="B7">
        <v>11.035285329882814</v>
      </c>
      <c r="C7">
        <v>3.4816088080406189</v>
      </c>
      <c r="D7">
        <v>10.531810913169647</v>
      </c>
      <c r="E7">
        <v>11.035285329882814</v>
      </c>
      <c r="F7">
        <v>3.4816088080406189</v>
      </c>
      <c r="G7">
        <v>10.531810913169647</v>
      </c>
      <c r="H7">
        <v>25.04870505109308</v>
      </c>
      <c r="J7" t="s">
        <v>28</v>
      </c>
      <c r="K7">
        <f>_xlfn.STDEV.S(E4:E1003)</f>
        <v>0.98115078241633613</v>
      </c>
      <c r="L7">
        <f>_xlfn.STDEV.S(F4:F1003)</f>
        <v>0.86360886865280218</v>
      </c>
      <c r="M7">
        <f>_xlfn.STDEV.S(G4:G1003)</f>
        <v>1.0149892583926916</v>
      </c>
      <c r="N7">
        <f>_xlfn.STDEV.S(H4:H1003)</f>
        <v>1.6517075701053021</v>
      </c>
    </row>
    <row r="8" spans="1:14" x14ac:dyDescent="0.55000000000000004">
      <c r="A8">
        <v>5</v>
      </c>
      <c r="B8">
        <v>9.5556663042440881</v>
      </c>
      <c r="C8">
        <v>4.32282555103302</v>
      </c>
      <c r="D8">
        <v>11.455235210362552</v>
      </c>
      <c r="E8">
        <v>9.5556663042440881</v>
      </c>
      <c r="F8">
        <v>4.32282555103302</v>
      </c>
      <c r="G8">
        <v>11.455235210362552</v>
      </c>
      <c r="H8">
        <v>25.33372706563966</v>
      </c>
      <c r="J8" t="s">
        <v>29</v>
      </c>
      <c r="K8">
        <f>_xlfn.VAR.S(E4:E1003)</f>
        <v>0.96265685783618848</v>
      </c>
      <c r="L8">
        <f>_xlfn.VAR.S(F4:F1003)</f>
        <v>0.745820278015773</v>
      </c>
      <c r="M8">
        <f>_xlfn.VAR.S(G4:G1003)</f>
        <v>1.0302031946525463</v>
      </c>
      <c r="N8">
        <f>_xlfn.VAR.S(H4:H1003)</f>
        <v>2.7281378971431618</v>
      </c>
    </row>
    <row r="9" spans="1:14" x14ac:dyDescent="0.55000000000000004">
      <c r="A9">
        <v>6</v>
      </c>
      <c r="B9">
        <v>11.120010285192871</v>
      </c>
      <c r="C9">
        <v>4.3331790566444397</v>
      </c>
      <c r="D9">
        <v>11.94578944721056</v>
      </c>
      <c r="E9">
        <v>11.120010285192871</v>
      </c>
      <c r="F9">
        <v>4.3331790566444397</v>
      </c>
      <c r="G9">
        <v>11.94578944721056</v>
      </c>
      <c r="H9">
        <v>27.39897878904787</v>
      </c>
      <c r="J9" t="s">
        <v>30</v>
      </c>
      <c r="K9">
        <f>KURT(E4:E1003)</f>
        <v>1.4314394663969221E-2</v>
      </c>
      <c r="L9">
        <f>KURT(F4:F1003)</f>
        <v>-1.1883916594961066</v>
      </c>
      <c r="M9">
        <f>KURT(G4:G1003)</f>
        <v>-0.60440778600741885</v>
      </c>
      <c r="N9">
        <f>KURT(H4:H1003)</f>
        <v>-0.19016268952741777</v>
      </c>
    </row>
    <row r="10" spans="1:14" x14ac:dyDescent="0.55000000000000004">
      <c r="A10">
        <v>7</v>
      </c>
      <c r="B10">
        <v>10.147396212411641</v>
      </c>
      <c r="C10">
        <v>2.7145841121673584</v>
      </c>
      <c r="D10">
        <v>13.89488444224839</v>
      </c>
      <c r="E10">
        <v>10.147396212411641</v>
      </c>
      <c r="F10">
        <v>2.7145841121673584</v>
      </c>
      <c r="G10">
        <v>13.89488444224839</v>
      </c>
      <c r="H10">
        <v>26.756864766827391</v>
      </c>
      <c r="J10" t="s">
        <v>31</v>
      </c>
      <c r="K10">
        <f>SKEW(E4:E1003)</f>
        <v>6.2342818160106339E-2</v>
      </c>
      <c r="L10">
        <f>SKEW(F4:F1003)</f>
        <v>-7.1700047528086189E-2</v>
      </c>
      <c r="M10">
        <f>SKEW(G4:G1003)</f>
        <v>0.19703949368502302</v>
      </c>
      <c r="N10">
        <f>SKEW(H4:H1003)</f>
        <v>4.4484749062502216E-2</v>
      </c>
    </row>
    <row r="11" spans="1:14" x14ac:dyDescent="0.55000000000000004">
      <c r="A11">
        <v>8</v>
      </c>
      <c r="B11">
        <v>10.064505923781413</v>
      </c>
      <c r="C11">
        <v>2.5085055232048035</v>
      </c>
      <c r="D11">
        <v>12.86878868093382</v>
      </c>
      <c r="E11">
        <v>10.064505923781413</v>
      </c>
      <c r="F11">
        <v>2.5085055232048035</v>
      </c>
      <c r="G11">
        <v>12.86878868093382</v>
      </c>
      <c r="H11">
        <v>25.441800127920036</v>
      </c>
      <c r="J11" t="s">
        <v>32</v>
      </c>
      <c r="K11">
        <f>MIN(E4:E1003)</f>
        <v>7.0174946367328976</v>
      </c>
      <c r="L11">
        <f>MIN(F4:F1003)</f>
        <v>2.0076977610588074</v>
      </c>
      <c r="M11">
        <f>MIN(G4:G1003)</f>
        <v>10.060839530245982</v>
      </c>
      <c r="N11">
        <f>MIN(H4:H1003)</f>
        <v>21.002640577713301</v>
      </c>
    </row>
    <row r="12" spans="1:14" x14ac:dyDescent="0.55000000000000004">
      <c r="A12">
        <v>9</v>
      </c>
      <c r="B12">
        <v>10.367774126303601</v>
      </c>
      <c r="C12">
        <v>4.2799638509750366</v>
      </c>
      <c r="D12">
        <v>13.38062947873463</v>
      </c>
      <c r="E12">
        <v>10.367774126303601</v>
      </c>
      <c r="F12">
        <v>4.2799638509750366</v>
      </c>
      <c r="G12">
        <v>13.38062947873463</v>
      </c>
      <c r="H12">
        <v>28.028367456013267</v>
      </c>
      <c r="J12" t="s">
        <v>33</v>
      </c>
      <c r="K12">
        <f>MAX(E4:E1003)</f>
        <v>13.080540197413086</v>
      </c>
      <c r="L12">
        <f>MAX(F4:F1003)</f>
        <v>4.9983760118484497</v>
      </c>
      <c r="M12">
        <f>MAX(G4:G1003)</f>
        <v>14.883160153132026</v>
      </c>
      <c r="N12">
        <f>MAX(H4:H1003)</f>
        <v>31.675432645006108</v>
      </c>
    </row>
    <row r="13" spans="1:14" x14ac:dyDescent="0.55000000000000004">
      <c r="A13">
        <v>10</v>
      </c>
      <c r="B13">
        <v>10.885161919813587</v>
      </c>
      <c r="C13">
        <v>4.2900055050849915</v>
      </c>
      <c r="D13">
        <v>11.91500333123378</v>
      </c>
      <c r="E13">
        <v>10.885161919813587</v>
      </c>
      <c r="F13">
        <v>4.2900055050849915</v>
      </c>
      <c r="G13">
        <v>11.91500333123378</v>
      </c>
      <c r="H13">
        <v>27.090170756132359</v>
      </c>
      <c r="J13" t="s">
        <v>8</v>
      </c>
      <c r="K13">
        <f>K12-K11</f>
        <v>6.0630455606801883</v>
      </c>
      <c r="L13">
        <f>L12-L11</f>
        <v>2.9906782507896423</v>
      </c>
      <c r="M13">
        <f>M12-M11</f>
        <v>4.8223206228860445</v>
      </c>
      <c r="N13">
        <f>N12-N11</f>
        <v>10.672792067292807</v>
      </c>
    </row>
    <row r="14" spans="1:14" x14ac:dyDescent="0.55000000000000004">
      <c r="A14">
        <v>11</v>
      </c>
      <c r="B14">
        <v>10.459560517839636</v>
      </c>
      <c r="C14">
        <v>2.5421352386474609</v>
      </c>
      <c r="D14">
        <v>11.175507320292017</v>
      </c>
      <c r="E14">
        <v>10.459560517839636</v>
      </c>
      <c r="F14">
        <v>2.5421352386474609</v>
      </c>
      <c r="G14">
        <v>11.175507320292017</v>
      </c>
      <c r="H14">
        <v>24.177203076779115</v>
      </c>
      <c r="J14" t="s">
        <v>34</v>
      </c>
      <c r="K14">
        <f>COUNT(E4:E1003)</f>
        <v>1000</v>
      </c>
      <c r="L14">
        <f>COUNT(F4:F1003)</f>
        <v>1000</v>
      </c>
      <c r="M14">
        <f>COUNT(G4:G1003)</f>
        <v>1000</v>
      </c>
      <c r="N14">
        <f>COUNT(H4:H1003)</f>
        <v>1000</v>
      </c>
    </row>
    <row r="15" spans="1:14" x14ac:dyDescent="0.55000000000000004">
      <c r="A15">
        <v>12</v>
      </c>
      <c r="B15">
        <v>9.146695228067367</v>
      </c>
      <c r="C15">
        <v>3.5442637801170349</v>
      </c>
      <c r="D15">
        <v>11.592418713014641</v>
      </c>
      <c r="E15">
        <v>9.146695228067367</v>
      </c>
      <c r="F15">
        <v>3.5442637801170349</v>
      </c>
      <c r="G15">
        <v>11.592418713014641</v>
      </c>
      <c r="H15">
        <v>24.283377721199045</v>
      </c>
      <c r="J15" t="s">
        <v>35</v>
      </c>
      <c r="K15">
        <f t="array" ref="K15">COUNT(IF(ISERROR(E4:E1003), 1, ""))</f>
        <v>0</v>
      </c>
      <c r="L15">
        <f t="array" ref="L15">COUNT(IF(ISERROR(F4:F1003), 1, ""))</f>
        <v>0</v>
      </c>
      <c r="M15">
        <f t="array" ref="M15">COUNT(IF(ISERROR(G4:G1003), 1, ""))</f>
        <v>0</v>
      </c>
      <c r="N15">
        <f t="array" ref="N15">COUNT(IF(ISERROR(H4:H1003), 1, ""))</f>
        <v>0</v>
      </c>
    </row>
    <row r="16" spans="1:14" x14ac:dyDescent="0.55000000000000004">
      <c r="A16">
        <v>13</v>
      </c>
      <c r="B16">
        <v>10.758567341901783</v>
      </c>
      <c r="C16">
        <v>4.3142467737197876</v>
      </c>
      <c r="D16">
        <v>12.106199874240989</v>
      </c>
      <c r="E16">
        <v>10.758567341901783</v>
      </c>
      <c r="F16">
        <v>4.3142467737197876</v>
      </c>
      <c r="G16">
        <v>12.106199874240989</v>
      </c>
      <c r="H16">
        <v>27.179013989862561</v>
      </c>
      <c r="J16" t="s">
        <v>36</v>
      </c>
      <c r="K16">
        <f>K7/SQRT(K14)</f>
        <v>3.1026712004919063E-2</v>
      </c>
      <c r="L16">
        <f>L7/SQRT(L14)</f>
        <v>2.7309710324640444E-2</v>
      </c>
      <c r="M16">
        <f>M7/SQRT(M14)</f>
        <v>3.2096778571260795E-2</v>
      </c>
      <c r="N16">
        <f>N7/SQRT(N14)</f>
        <v>5.2231579500749942E-2</v>
      </c>
    </row>
    <row r="17" spans="1:14" x14ac:dyDescent="0.55000000000000004">
      <c r="A17">
        <v>14</v>
      </c>
      <c r="B17">
        <v>9.2572456135629579</v>
      </c>
      <c r="C17">
        <v>2.6209583878517151</v>
      </c>
      <c r="D17">
        <v>11.480149529094613</v>
      </c>
      <c r="E17">
        <v>9.2572456135629579</v>
      </c>
      <c r="F17">
        <v>2.6209583878517151</v>
      </c>
      <c r="G17">
        <v>11.480149529094613</v>
      </c>
      <c r="H17">
        <v>23.358353530509284</v>
      </c>
      <c r="J17" t="s">
        <v>37</v>
      </c>
      <c r="K17">
        <f>_xlfn.CONFIDENCE.T(5%,K7,K14)</f>
        <v>6.088500336990002E-2</v>
      </c>
      <c r="L17">
        <f>_xlfn.CONFIDENCE.T(5%,L7,L14)</f>
        <v>5.3590976861586537E-2</v>
      </c>
      <c r="M17">
        <f>_xlfn.CONFIDENCE.T(5%,M7,M14)</f>
        <v>6.2984839359205125E-2</v>
      </c>
      <c r="N17">
        <f>_xlfn.CONFIDENCE.T(5%,N7,N14)</f>
        <v>0.10249619403481025</v>
      </c>
    </row>
    <row r="18" spans="1:14" x14ac:dyDescent="0.55000000000000004">
      <c r="A18">
        <v>15</v>
      </c>
      <c r="B18">
        <v>9.6149944994877572</v>
      </c>
      <c r="C18">
        <v>3.9284288883209229</v>
      </c>
      <c r="D18">
        <v>11.985507461724037</v>
      </c>
      <c r="E18">
        <v>9.6149944994877572</v>
      </c>
      <c r="F18">
        <v>3.9284288883209229</v>
      </c>
      <c r="G18">
        <v>11.985507461724037</v>
      </c>
      <c r="H18">
        <v>25.528930849532717</v>
      </c>
      <c r="J18" t="s">
        <v>38</v>
      </c>
    </row>
    <row r="19" spans="1:14" x14ac:dyDescent="0.55000000000000004">
      <c r="A19">
        <v>16</v>
      </c>
      <c r="B19">
        <v>10.581199910258412</v>
      </c>
      <c r="C19">
        <v>4.6697551608085632</v>
      </c>
      <c r="D19">
        <v>13.296343580088577</v>
      </c>
      <c r="E19">
        <v>10.581199910258412</v>
      </c>
      <c r="F19">
        <v>4.6697551608085632</v>
      </c>
      <c r="G19">
        <v>13.296343580088577</v>
      </c>
      <c r="H19">
        <v>28.54729865115555</v>
      </c>
      <c r="J19" s="6">
        <v>0</v>
      </c>
      <c r="K19">
        <f>_xlfn.PERCENTILE.INC(E4:E1003,0%)</f>
        <v>7.0174946367328976</v>
      </c>
      <c r="L19">
        <f>_xlfn.PERCENTILE.INC(F4:F1003,0%)</f>
        <v>2.0076977610588074</v>
      </c>
      <c r="M19">
        <f>_xlfn.PERCENTILE.INC(G4:G1003,0%)</f>
        <v>10.060839530245982</v>
      </c>
      <c r="N19">
        <f>_xlfn.PERCENTILE.INC(H4:H1003,0%)</f>
        <v>21.002640577713301</v>
      </c>
    </row>
    <row r="20" spans="1:14" x14ac:dyDescent="0.55000000000000004">
      <c r="A20">
        <v>17</v>
      </c>
      <c r="B20">
        <v>10.410631881435163</v>
      </c>
      <c r="C20">
        <v>3.1796416044235229</v>
      </c>
      <c r="D20">
        <v>12.805832873167112</v>
      </c>
      <c r="E20">
        <v>10.410631881435163</v>
      </c>
      <c r="F20">
        <v>3.1796416044235229</v>
      </c>
      <c r="G20">
        <v>12.805832873167112</v>
      </c>
      <c r="H20">
        <v>26.396106359025801</v>
      </c>
      <c r="J20" s="6">
        <v>0.05</v>
      </c>
      <c r="K20">
        <f>_xlfn.PERCENTILE.INC(E4:E1003,5%)</f>
        <v>8.4105692009152904</v>
      </c>
      <c r="L20">
        <f>_xlfn.PERCENTILE.INC(F4:F1003,5%)</f>
        <v>2.144275575876236</v>
      </c>
      <c r="M20">
        <f>_xlfn.PERCENTILE.INC(G4:G1003,5%)</f>
        <v>10.687354696960194</v>
      </c>
      <c r="N20">
        <f>_xlfn.PERCENTILE.INC(H4:H1003,5%)</f>
        <v>23.226149568691831</v>
      </c>
    </row>
    <row r="21" spans="1:14" x14ac:dyDescent="0.55000000000000004">
      <c r="A21">
        <v>18</v>
      </c>
      <c r="B21">
        <v>9.2489509366739515</v>
      </c>
      <c r="C21">
        <v>4.6564210057258606</v>
      </c>
      <c r="D21">
        <v>10.852015103792805</v>
      </c>
      <c r="E21">
        <v>9.2489509366739515</v>
      </c>
      <c r="F21">
        <v>4.6564210057258606</v>
      </c>
      <c r="G21">
        <v>10.852015103792805</v>
      </c>
      <c r="H21">
        <v>24.757387046192619</v>
      </c>
      <c r="J21" s="6">
        <v>0.1</v>
      </c>
      <c r="K21">
        <f>_xlfn.PERCENTILE.INC(E4:E1003,10%)</f>
        <v>8.8239991877586181</v>
      </c>
      <c r="L21">
        <f>_xlfn.PERCENTILE.INC(F4:F1003,10%)</f>
        <v>2.2939926207065584</v>
      </c>
      <c r="M21">
        <f>_xlfn.PERCENTILE.INC(G4:G1003,10%)</f>
        <v>11.016853133131475</v>
      </c>
      <c r="N21">
        <f>_xlfn.PERCENTILE.INC(H4:H1003,10%)</f>
        <v>23.774348069310097</v>
      </c>
    </row>
    <row r="22" spans="1:14" x14ac:dyDescent="0.55000000000000004">
      <c r="A22">
        <v>19</v>
      </c>
      <c r="B22">
        <v>9.3193201364366516</v>
      </c>
      <c r="C22">
        <v>3.3906159400939941</v>
      </c>
      <c r="D22">
        <v>10.727034630733773</v>
      </c>
      <c r="E22">
        <v>9.3193201364366516</v>
      </c>
      <c r="F22">
        <v>3.3906159400939941</v>
      </c>
      <c r="G22">
        <v>10.727034630733773</v>
      </c>
      <c r="H22">
        <v>23.436970707264418</v>
      </c>
      <c r="J22" s="6">
        <v>0.15</v>
      </c>
      <c r="K22">
        <f>_xlfn.PERCENTILE.INC(E4:E1003,15%)</f>
        <v>9.0557341620427625</v>
      </c>
      <c r="L22">
        <f>_xlfn.PERCENTILE.INC(F4:F1003,15%)</f>
        <v>2.4337278246879577</v>
      </c>
      <c r="M22">
        <f>_xlfn.PERCENTILE.INC(G4:G1003,15%)</f>
        <v>11.231816696659449</v>
      </c>
      <c r="N22">
        <f>_xlfn.PERCENTILE.INC(H4:H1003,15%)</f>
        <v>24.174759492369606</v>
      </c>
    </row>
    <row r="23" spans="1:14" x14ac:dyDescent="0.55000000000000004">
      <c r="A23">
        <v>20</v>
      </c>
      <c r="B23">
        <v>10.866514537966122</v>
      </c>
      <c r="C23">
        <v>4.1094059348106384</v>
      </c>
      <c r="D23">
        <v>13.193429814242691</v>
      </c>
      <c r="E23">
        <v>10.866514537966122</v>
      </c>
      <c r="F23">
        <v>4.1094059348106384</v>
      </c>
      <c r="G23">
        <v>13.193429814242691</v>
      </c>
      <c r="H23">
        <v>28.169350287019451</v>
      </c>
      <c r="J23" s="6">
        <v>0.2</v>
      </c>
      <c r="K23">
        <f>_xlfn.PERCENTILE.INC(E4:E1003,20%)</f>
        <v>9.2089404293559625</v>
      </c>
      <c r="L23">
        <f>_xlfn.PERCENTILE.INC(F4:F1003,20%)</f>
        <v>2.5817746400833128</v>
      </c>
      <c r="M23">
        <f>_xlfn.PERCENTILE.INC(G4:G1003,20%)</f>
        <v>11.414405651889339</v>
      </c>
      <c r="N23">
        <f>_xlfn.PERCENTILE.INC(H4:H1003,20%)</f>
        <v>24.453702693269122</v>
      </c>
    </row>
    <row r="24" spans="1:14" x14ac:dyDescent="0.55000000000000004">
      <c r="A24">
        <v>21</v>
      </c>
      <c r="B24">
        <v>8.7361494919312559</v>
      </c>
      <c r="C24">
        <v>4.7541390657424927</v>
      </c>
      <c r="D24">
        <v>12.506197803728069</v>
      </c>
      <c r="E24">
        <v>8.7361494919312559</v>
      </c>
      <c r="F24">
        <v>4.7541390657424927</v>
      </c>
      <c r="G24">
        <v>12.506197803728069</v>
      </c>
      <c r="H24">
        <v>25.996486361401818</v>
      </c>
      <c r="J24" s="6">
        <v>0.25</v>
      </c>
      <c r="K24">
        <f>_xlfn.PERCENTILE.INC(E4:E1003,25%)</f>
        <v>9.3663600320094762</v>
      </c>
      <c r="L24">
        <f>_xlfn.PERCENTILE.INC(F4:F1003,25%)</f>
        <v>2.7799790054559708</v>
      </c>
      <c r="M24">
        <f>_xlfn.PERCENTILE.INC(G4:G1003,25%)</f>
        <v>11.541413635040383</v>
      </c>
      <c r="N24">
        <f>_xlfn.PERCENTILE.INC(H4:H1003,25%)</f>
        <v>24.707286299033868</v>
      </c>
    </row>
    <row r="25" spans="1:14" x14ac:dyDescent="0.55000000000000004">
      <c r="A25">
        <v>22</v>
      </c>
      <c r="B25">
        <v>9.3572832573578069</v>
      </c>
      <c r="C25">
        <v>3.378143846988678</v>
      </c>
      <c r="D25">
        <v>12.091964777764931</v>
      </c>
      <c r="E25">
        <v>9.3572832573578069</v>
      </c>
      <c r="F25">
        <v>3.378143846988678</v>
      </c>
      <c r="G25">
        <v>12.091964777764931</v>
      </c>
      <c r="H25">
        <v>24.827391882111414</v>
      </c>
      <c r="J25" s="6">
        <v>0.3</v>
      </c>
      <c r="K25">
        <f>_xlfn.PERCENTILE.INC(E4:E1003,30%)</f>
        <v>9.5367276395917173</v>
      </c>
      <c r="L25">
        <f>_xlfn.PERCENTILE.INC(F4:F1003,30%)</f>
        <v>2.9181030154228211</v>
      </c>
      <c r="M25">
        <f>_xlfn.PERCENTILE.INC(G4:G1003,30%)</f>
        <v>11.72228687630821</v>
      </c>
      <c r="N25">
        <f>_xlfn.PERCENTILE.INC(H4:H1003,30%)</f>
        <v>24.95408456370529</v>
      </c>
    </row>
    <row r="26" spans="1:14" x14ac:dyDescent="0.55000000000000004">
      <c r="A26">
        <v>23</v>
      </c>
      <c r="B26">
        <v>10.326847651469516</v>
      </c>
      <c r="C26">
        <v>3.8589332103729248</v>
      </c>
      <c r="D26">
        <v>12.087102094907216</v>
      </c>
      <c r="E26">
        <v>10.326847651469516</v>
      </c>
      <c r="F26">
        <v>3.8589332103729248</v>
      </c>
      <c r="G26">
        <v>12.087102094907216</v>
      </c>
      <c r="H26">
        <v>26.272882956749655</v>
      </c>
      <c r="J26" s="6">
        <v>0.35</v>
      </c>
      <c r="K26">
        <f>_xlfn.PERCENTILE.INC(E4:E1003,35%)</f>
        <v>9.6416151062056983</v>
      </c>
      <c r="L26">
        <f>_xlfn.PERCENTILE.INC(F4:F1003,35%)</f>
        <v>3.1105799347162244</v>
      </c>
      <c r="M26">
        <f>_xlfn.PERCENTILE.INC(G4:G1003,35%)</f>
        <v>11.849147889858106</v>
      </c>
      <c r="N26">
        <f>_xlfn.PERCENTILE.INC(H4:H1003,35%)</f>
        <v>25.167776555085695</v>
      </c>
    </row>
    <row r="27" spans="1:14" x14ac:dyDescent="0.55000000000000004">
      <c r="A27">
        <v>24</v>
      </c>
      <c r="B27">
        <v>9.5475869017333252</v>
      </c>
      <c r="C27">
        <v>3.9343220591545105</v>
      </c>
      <c r="D27">
        <v>13.485272584830749</v>
      </c>
      <c r="E27">
        <v>9.5475869017333252</v>
      </c>
      <c r="F27">
        <v>3.9343220591545105</v>
      </c>
      <c r="G27">
        <v>13.485272584830749</v>
      </c>
      <c r="H27">
        <v>26.967181545718585</v>
      </c>
      <c r="J27" s="6">
        <v>0.4</v>
      </c>
      <c r="K27">
        <f>_xlfn.PERCENTILE.INC(E4:E1003,40%)</f>
        <v>9.7935172742905827</v>
      </c>
      <c r="L27">
        <f>_xlfn.PERCENTILE.INC(F4:F1003,40%)</f>
        <v>3.2752532005310058</v>
      </c>
      <c r="M27">
        <f>_xlfn.PERCENTILE.INC(G4:G1003,40%)</f>
        <v>11.96950207559366</v>
      </c>
      <c r="N27">
        <f>_xlfn.PERCENTILE.INC(H4:H1003,40%)</f>
        <v>25.346341003529197</v>
      </c>
    </row>
    <row r="28" spans="1:14" x14ac:dyDescent="0.55000000000000004">
      <c r="A28">
        <v>25</v>
      </c>
      <c r="B28">
        <v>10.762919808685067</v>
      </c>
      <c r="C28">
        <v>2.0553783178329468</v>
      </c>
      <c r="D28">
        <v>13.060064139615315</v>
      </c>
      <c r="E28">
        <v>10.762919808685067</v>
      </c>
      <c r="F28">
        <v>2.0553783178329468</v>
      </c>
      <c r="G28">
        <v>13.060064139615315</v>
      </c>
      <c r="H28">
        <v>25.87836226613333</v>
      </c>
      <c r="J28" s="6">
        <v>0.45</v>
      </c>
      <c r="K28">
        <f>_xlfn.PERCENTILE.INC(E4:E1003,45%)</f>
        <v>9.8892284332982747</v>
      </c>
      <c r="L28">
        <f>_xlfn.PERCENTILE.INC(F4:F1003,45%)</f>
        <v>3.4014726907014845</v>
      </c>
      <c r="M28">
        <f>_xlfn.PERCENTILE.INC(G4:G1003,45%)</f>
        <v>12.078841516771172</v>
      </c>
      <c r="N28">
        <f>_xlfn.PERCENTILE.INC(H4:H1003,45%)</f>
        <v>25.571599726499777</v>
      </c>
    </row>
    <row r="29" spans="1:14" x14ac:dyDescent="0.55000000000000004">
      <c r="A29">
        <v>26</v>
      </c>
      <c r="B29">
        <v>10.142733577759108</v>
      </c>
      <c r="C29">
        <v>2.9973695874214172</v>
      </c>
      <c r="D29">
        <v>11.542365233780178</v>
      </c>
      <c r="E29">
        <v>10.142733577759108</v>
      </c>
      <c r="F29">
        <v>2.9973695874214172</v>
      </c>
      <c r="G29">
        <v>11.542365233780178</v>
      </c>
      <c r="H29">
        <v>24.682468398960701</v>
      </c>
      <c r="J29" s="6">
        <v>0.5</v>
      </c>
      <c r="K29">
        <f>_xlfn.PERCENTILE.INC(E4:E1003,50%)</f>
        <v>10.009607521086224</v>
      </c>
      <c r="L29">
        <f>_xlfn.PERCENTILE.INC(F4:F1003,50%)</f>
        <v>3.5464762449264526</v>
      </c>
      <c r="M29">
        <f>_xlfn.PERCENTILE.INC(G4:G1003,50%)</f>
        <v>12.218050264693371</v>
      </c>
      <c r="N29">
        <f>_xlfn.PERCENTILE.INC(H4:H1003,50%)</f>
        <v>25.842672346398036</v>
      </c>
    </row>
    <row r="30" spans="1:14" x14ac:dyDescent="0.55000000000000004">
      <c r="A30">
        <v>27</v>
      </c>
      <c r="B30">
        <v>11.588232573363655</v>
      </c>
      <c r="C30">
        <v>2.0673284530639648</v>
      </c>
      <c r="D30">
        <v>12.394381171435342</v>
      </c>
      <c r="E30">
        <v>11.588232573363655</v>
      </c>
      <c r="F30">
        <v>2.0673284530639648</v>
      </c>
      <c r="G30">
        <v>12.394381171435342</v>
      </c>
      <c r="H30">
        <v>26.049942197862961</v>
      </c>
      <c r="J30" s="6">
        <v>0.55000000000000004</v>
      </c>
      <c r="K30">
        <f>_xlfn.PERCENTILE.INC(E4:E1003,55%)</f>
        <v>10.144582550074146</v>
      </c>
      <c r="L30">
        <f>_xlfn.PERCENTILE.INC(F4:F1003,55%)</f>
        <v>3.693737307190895</v>
      </c>
      <c r="M30">
        <f>_xlfn.PERCENTILE.INC(G4:G1003,55%)</f>
        <v>12.372250810498128</v>
      </c>
      <c r="N30">
        <f>_xlfn.PERCENTILE.INC(H4:H1003,55%)</f>
        <v>26.072025530823815</v>
      </c>
    </row>
    <row r="31" spans="1:14" x14ac:dyDescent="0.55000000000000004">
      <c r="A31">
        <v>28</v>
      </c>
      <c r="B31">
        <v>11.00190680219502</v>
      </c>
      <c r="C31">
        <v>2.5154141783714294</v>
      </c>
      <c r="D31">
        <v>10.878670894052103</v>
      </c>
      <c r="E31">
        <v>11.00190680219502</v>
      </c>
      <c r="F31">
        <v>2.5154141783714294</v>
      </c>
      <c r="G31">
        <v>10.878670894052103</v>
      </c>
      <c r="H31">
        <v>24.395991874618552</v>
      </c>
      <c r="J31" s="6">
        <v>0.6</v>
      </c>
      <c r="K31">
        <f>_xlfn.PERCENTILE.INC(E4:E1003,60%)</f>
        <v>10.26722799819782</v>
      </c>
      <c r="L31">
        <f>_xlfn.PERCENTILE.INC(F4:F1003,60%)</f>
        <v>3.8296844363212585</v>
      </c>
      <c r="M31">
        <f>_xlfn.PERCENTILE.INC(G4:G1003,60%)</f>
        <v>12.527987332158744</v>
      </c>
      <c r="N31">
        <f>_xlfn.PERCENTILE.INC(H4:H1003,60%)</f>
        <v>26.236801143929902</v>
      </c>
    </row>
    <row r="32" spans="1:14" x14ac:dyDescent="0.55000000000000004">
      <c r="A32">
        <v>29</v>
      </c>
      <c r="B32">
        <v>9.8647922134191361</v>
      </c>
      <c r="C32">
        <v>4.0062719583511353</v>
      </c>
      <c r="D32">
        <v>12.734763672065295</v>
      </c>
      <c r="E32">
        <v>9.8647922134191361</v>
      </c>
      <c r="F32">
        <v>4.0062719583511353</v>
      </c>
      <c r="G32">
        <v>12.734763672065295</v>
      </c>
      <c r="H32">
        <v>26.605827843835566</v>
      </c>
      <c r="J32" s="6">
        <v>0.65</v>
      </c>
      <c r="K32">
        <f>_xlfn.PERCENTILE.INC(E4:E1003,65%)</f>
        <v>10.406335015279643</v>
      </c>
      <c r="L32">
        <f>_xlfn.PERCENTILE.INC(F4:F1003,65%)</f>
        <v>3.9619057089090348</v>
      </c>
      <c r="M32">
        <f>_xlfn.PERCENTILE.INC(G4:G1003,65%)</f>
        <v>12.6921026095331</v>
      </c>
      <c r="N32">
        <f>_xlfn.PERCENTILE.INC(H4:H1003,65%)</f>
        <v>26.496981618094082</v>
      </c>
    </row>
    <row r="33" spans="1:14" x14ac:dyDescent="0.55000000000000004">
      <c r="A33">
        <v>30</v>
      </c>
      <c r="B33">
        <v>10.787785585332822</v>
      </c>
      <c r="C33">
        <v>4.2829580903053284</v>
      </c>
      <c r="D33">
        <v>11.101506657909717</v>
      </c>
      <c r="E33">
        <v>10.787785585332822</v>
      </c>
      <c r="F33">
        <v>4.2829580903053284</v>
      </c>
      <c r="G33">
        <v>11.101506657909717</v>
      </c>
      <c r="H33">
        <v>26.172250333547865</v>
      </c>
      <c r="J33" s="6">
        <v>0.7</v>
      </c>
      <c r="K33">
        <f>_xlfn.PERCENTILE.INC(E4:E1003,70%)</f>
        <v>10.541561928305274</v>
      </c>
      <c r="L33">
        <f>_xlfn.PERCENTILE.INC(F4:F1003,70%)</f>
        <v>4.1131973981857302</v>
      </c>
      <c r="M33">
        <f>_xlfn.PERCENTILE.INC(G4:G1003,70%)</f>
        <v>12.839923310461765</v>
      </c>
      <c r="N33">
        <f>_xlfn.PERCENTILE.INC(H4:H1003,70%)</f>
        <v>26.734748245636627</v>
      </c>
    </row>
    <row r="34" spans="1:14" x14ac:dyDescent="0.55000000000000004">
      <c r="A34">
        <v>31</v>
      </c>
      <c r="B34">
        <v>10.537611589700132</v>
      </c>
      <c r="C34">
        <v>3.6940853595733643</v>
      </c>
      <c r="D34">
        <v>10.857802252369524</v>
      </c>
      <c r="E34">
        <v>10.537611589700132</v>
      </c>
      <c r="F34">
        <v>3.6940853595733643</v>
      </c>
      <c r="G34">
        <v>10.857802252369524</v>
      </c>
      <c r="H34">
        <v>25.089499201643022</v>
      </c>
      <c r="J34" s="6">
        <v>0.75</v>
      </c>
      <c r="K34">
        <f>_xlfn.PERCENTILE.INC(E4:E1003,75%)</f>
        <v>10.697072579103608</v>
      </c>
      <c r="L34">
        <f>_xlfn.PERCENTILE.INC(F4:F1003,75%)</f>
        <v>4.2794476598501205</v>
      </c>
      <c r="M34">
        <f>_xlfn.PERCENTILE.INC(G4:G1003,75%)</f>
        <v>12.987457011696883</v>
      </c>
      <c r="N34">
        <f>_xlfn.PERCENTILE.INC(H4:H1003,75%)</f>
        <v>27.003956446578364</v>
      </c>
    </row>
    <row r="35" spans="1:14" x14ac:dyDescent="0.55000000000000004">
      <c r="A35">
        <v>32</v>
      </c>
      <c r="B35">
        <v>9.7968671795874691</v>
      </c>
      <c r="C35">
        <v>2.7265226244926453</v>
      </c>
      <c r="D35">
        <v>11.956450720778907</v>
      </c>
      <c r="E35">
        <v>9.7968671795874691</v>
      </c>
      <c r="F35">
        <v>2.7265226244926453</v>
      </c>
      <c r="G35">
        <v>11.956450720778907</v>
      </c>
      <c r="H35">
        <v>24.479840524859021</v>
      </c>
      <c r="J35" s="6">
        <v>0.8</v>
      </c>
      <c r="K35">
        <f>_xlfn.PERCENTILE.INC(E4:E1003,80%)</f>
        <v>10.853244596609104</v>
      </c>
      <c r="L35">
        <f>_xlfn.PERCENTILE.INC(F4:F1003,80%)</f>
        <v>4.4015864014625548</v>
      </c>
      <c r="M35">
        <f>_xlfn.PERCENTILE.INC(G4:G1003,80%)</f>
        <v>13.247039151240005</v>
      </c>
      <c r="N35">
        <f>_xlfn.PERCENTILE.INC(H4:H1003,80%)</f>
        <v>27.321187015380797</v>
      </c>
    </row>
    <row r="36" spans="1:14" x14ac:dyDescent="0.55000000000000004">
      <c r="A36">
        <v>33</v>
      </c>
      <c r="B36">
        <v>9.8838555439606282</v>
      </c>
      <c r="C36">
        <v>2.9506310224533081</v>
      </c>
      <c r="D36">
        <v>11.755929404486334</v>
      </c>
      <c r="E36">
        <v>9.8838555439606282</v>
      </c>
      <c r="F36">
        <v>2.9506310224533081</v>
      </c>
      <c r="G36">
        <v>11.755929404486334</v>
      </c>
      <c r="H36">
        <v>24.590415970900271</v>
      </c>
      <c r="J36" s="6">
        <v>0.85</v>
      </c>
      <c r="K36">
        <f>_xlfn.PERCENTILE.INC(E4:E1003,85%)</f>
        <v>11.026631062035463</v>
      </c>
      <c r="L36">
        <f>_xlfn.PERCENTILE.INC(F4:F1003,85%)</f>
        <v>4.5187655687332153</v>
      </c>
      <c r="M36">
        <f>_xlfn.PERCENTILE.INC(G4:G1003,85%)</f>
        <v>13.441107257821661</v>
      </c>
      <c r="N36">
        <f>_xlfn.PERCENTILE.INC(H4:H1003,85%)</f>
        <v>27.656358968103088</v>
      </c>
    </row>
    <row r="37" spans="1:14" x14ac:dyDescent="0.55000000000000004">
      <c r="A37">
        <v>34</v>
      </c>
      <c r="B37">
        <v>11.98846037251802</v>
      </c>
      <c r="C37">
        <v>2.6395114064216614</v>
      </c>
      <c r="D37">
        <v>14.675572106589042</v>
      </c>
      <c r="E37">
        <v>11.98846037251802</v>
      </c>
      <c r="F37">
        <v>2.6395114064216614</v>
      </c>
      <c r="G37">
        <v>14.675572106589042</v>
      </c>
      <c r="H37">
        <v>29.303543885528725</v>
      </c>
      <c r="J37" s="6">
        <v>0.9</v>
      </c>
      <c r="K37">
        <f>_xlfn.PERCENTILE.INC(E4:E1003,90%)</f>
        <v>11.30017505779616</v>
      </c>
      <c r="L37">
        <f>_xlfn.PERCENTILE.INC(F4:F1003,90%)</f>
        <v>4.6795791447162634</v>
      </c>
      <c r="M37">
        <f>_xlfn.PERCENTILE.INC(G4:G1003,90%)</f>
        <v>13.766678757130704</v>
      </c>
      <c r="N37">
        <f>_xlfn.PERCENTILE.INC(H4:H1003,90%)</f>
        <v>28.03424862588567</v>
      </c>
    </row>
    <row r="38" spans="1:14" x14ac:dyDescent="0.55000000000000004">
      <c r="A38">
        <v>35</v>
      </c>
      <c r="B38">
        <v>10.213282295560056</v>
      </c>
      <c r="C38">
        <v>3.252448558807373</v>
      </c>
      <c r="D38">
        <v>12.555839139446899</v>
      </c>
      <c r="E38">
        <v>10.213282295560056</v>
      </c>
      <c r="F38">
        <v>3.252448558807373</v>
      </c>
      <c r="G38">
        <v>12.555839139446899</v>
      </c>
      <c r="H38">
        <v>26.021569993814328</v>
      </c>
      <c r="J38" s="6">
        <v>0.95</v>
      </c>
      <c r="K38">
        <f>_xlfn.PERCENTILE.INC(E4:E1003,95%)</f>
        <v>11.676325066480874</v>
      </c>
      <c r="L38">
        <f>_xlfn.PERCENTILE.INC(F4:F1003,95%)</f>
        <v>4.8367304772138597</v>
      </c>
      <c r="M38">
        <f>_xlfn.PERCENTILE.INC(G4:G1003,95%)</f>
        <v>14.103714665305484</v>
      </c>
      <c r="N38">
        <f>_xlfn.PERCENTILE.INC(H4:H1003,95%)</f>
        <v>28.564311518545736</v>
      </c>
    </row>
    <row r="39" spans="1:14" x14ac:dyDescent="0.55000000000000004">
      <c r="A39">
        <v>36</v>
      </c>
      <c r="B39">
        <v>10.429500339475885</v>
      </c>
      <c r="C39">
        <v>2.897542417049408</v>
      </c>
      <c r="D39">
        <v>11.335907963654895</v>
      </c>
      <c r="E39">
        <v>10.429500339475885</v>
      </c>
      <c r="F39">
        <v>2.897542417049408</v>
      </c>
      <c r="G39">
        <v>11.335907963654895</v>
      </c>
      <c r="H39">
        <v>24.662950720180188</v>
      </c>
      <c r="J39" s="6">
        <v>1</v>
      </c>
      <c r="K39">
        <f>_xlfn.PERCENTILE.INC(E4:E1003,100%)</f>
        <v>13.080540197413086</v>
      </c>
      <c r="L39">
        <f>_xlfn.PERCENTILE.INC(F4:F1003,100%)</f>
        <v>4.9983760118484497</v>
      </c>
      <c r="M39">
        <f>_xlfn.PERCENTILE.INC(G4:G1003,100%)</f>
        <v>14.883160153132026</v>
      </c>
      <c r="N39">
        <f>_xlfn.PERCENTILE.INC(H4:H1003,100%)</f>
        <v>31.675432645006108</v>
      </c>
    </row>
    <row r="40" spans="1:14" x14ac:dyDescent="0.55000000000000004">
      <c r="A40">
        <v>37</v>
      </c>
      <c r="B40">
        <v>9.8921204377289538</v>
      </c>
      <c r="C40">
        <v>2.9187899827957153</v>
      </c>
      <c r="D40">
        <v>10.806477084449778</v>
      </c>
      <c r="E40">
        <v>9.8921204377289538</v>
      </c>
      <c r="F40">
        <v>2.9187899827957153</v>
      </c>
      <c r="G40">
        <v>10.806477084449778</v>
      </c>
      <c r="H40">
        <v>23.617387504974445</v>
      </c>
    </row>
    <row r="41" spans="1:14" x14ac:dyDescent="0.55000000000000004">
      <c r="A41">
        <v>38</v>
      </c>
      <c r="B41">
        <v>10.529793569774085</v>
      </c>
      <c r="C41">
        <v>4.9354987740516663</v>
      </c>
      <c r="D41">
        <v>13.351576674101963</v>
      </c>
      <c r="E41">
        <v>10.529793569774085</v>
      </c>
      <c r="F41">
        <v>4.9354987740516663</v>
      </c>
      <c r="G41">
        <v>13.351576674101963</v>
      </c>
      <c r="H41">
        <v>28.816869017927715</v>
      </c>
    </row>
    <row r="42" spans="1:14" x14ac:dyDescent="0.55000000000000004">
      <c r="A42">
        <v>39</v>
      </c>
      <c r="B42">
        <v>10.779509650621568</v>
      </c>
      <c r="C42">
        <v>3.7312486171722412</v>
      </c>
      <c r="D42">
        <v>11.059524464823896</v>
      </c>
      <c r="E42">
        <v>10.779509650621568</v>
      </c>
      <c r="F42">
        <v>3.7312486171722412</v>
      </c>
      <c r="G42">
        <v>11.059524464823896</v>
      </c>
      <c r="H42">
        <v>25.570282732617706</v>
      </c>
    </row>
    <row r="43" spans="1:14" x14ac:dyDescent="0.55000000000000004">
      <c r="A43">
        <v>40</v>
      </c>
      <c r="B43">
        <v>8.1242591947727352</v>
      </c>
      <c r="C43">
        <v>3.5175482630729675</v>
      </c>
      <c r="D43">
        <v>11.748665641511439</v>
      </c>
      <c r="E43">
        <v>8.1242591947727352</v>
      </c>
      <c r="F43">
        <v>3.5175482630729675</v>
      </c>
      <c r="G43">
        <v>11.748665641511439</v>
      </c>
      <c r="H43">
        <v>23.390473099357141</v>
      </c>
    </row>
    <row r="44" spans="1:14" x14ac:dyDescent="0.55000000000000004">
      <c r="A44">
        <v>41</v>
      </c>
      <c r="B44">
        <v>9.7752082568393295</v>
      </c>
      <c r="C44">
        <v>3.6432317495346069</v>
      </c>
      <c r="D44">
        <v>13.143684740924673</v>
      </c>
      <c r="E44">
        <v>9.7752082568393295</v>
      </c>
      <c r="F44">
        <v>3.6432317495346069</v>
      </c>
      <c r="G44">
        <v>13.143684740924673</v>
      </c>
      <c r="H44">
        <v>26.562124747298611</v>
      </c>
    </row>
    <row r="45" spans="1:14" x14ac:dyDescent="0.55000000000000004">
      <c r="A45">
        <v>42</v>
      </c>
      <c r="B45">
        <v>9.9683763901790776</v>
      </c>
      <c r="C45">
        <v>2.081381618976593</v>
      </c>
      <c r="D45">
        <v>12.77976765250467</v>
      </c>
      <c r="E45">
        <v>9.9683763901790776</v>
      </c>
      <c r="F45">
        <v>2.081381618976593</v>
      </c>
      <c r="G45">
        <v>12.77976765250467</v>
      </c>
      <c r="H45">
        <v>24.829525661660341</v>
      </c>
    </row>
    <row r="46" spans="1:14" x14ac:dyDescent="0.55000000000000004">
      <c r="A46">
        <v>43</v>
      </c>
      <c r="B46">
        <v>10.332321437620299</v>
      </c>
      <c r="C46">
        <v>3.9855270385742188</v>
      </c>
      <c r="D46">
        <v>12.919839565132595</v>
      </c>
      <c r="E46">
        <v>10.332321437620299</v>
      </c>
      <c r="F46">
        <v>3.9855270385742188</v>
      </c>
      <c r="G46">
        <v>12.919839565132595</v>
      </c>
      <c r="H46">
        <v>27.237688041327111</v>
      </c>
    </row>
    <row r="47" spans="1:14" x14ac:dyDescent="0.55000000000000004">
      <c r="A47">
        <v>44</v>
      </c>
      <c r="B47">
        <v>9.6093047502852222</v>
      </c>
      <c r="C47">
        <v>2.687919557094574</v>
      </c>
      <c r="D47">
        <v>11.431254294443143</v>
      </c>
      <c r="E47">
        <v>9.6093047502852222</v>
      </c>
      <c r="F47">
        <v>2.687919557094574</v>
      </c>
      <c r="G47">
        <v>11.431254294443143</v>
      </c>
      <c r="H47">
        <v>23.728478601822939</v>
      </c>
    </row>
    <row r="48" spans="1:14" x14ac:dyDescent="0.55000000000000004">
      <c r="A48">
        <v>45</v>
      </c>
      <c r="B48">
        <v>10.852702222446819</v>
      </c>
      <c r="C48">
        <v>3.3242126703262329</v>
      </c>
      <c r="D48">
        <v>11.015697476662019</v>
      </c>
      <c r="E48">
        <v>10.852702222446819</v>
      </c>
      <c r="F48">
        <v>3.3242126703262329</v>
      </c>
      <c r="G48">
        <v>11.015697476662019</v>
      </c>
      <c r="H48">
        <v>25.192612369435071</v>
      </c>
    </row>
    <row r="49" spans="1:8" x14ac:dyDescent="0.55000000000000004">
      <c r="A49">
        <v>46</v>
      </c>
      <c r="B49">
        <v>9.9751364644315679</v>
      </c>
      <c r="C49">
        <v>2.3577385544776917</v>
      </c>
      <c r="D49">
        <v>10.513085788803746</v>
      </c>
      <c r="E49">
        <v>9.9751364644315679</v>
      </c>
      <c r="F49">
        <v>2.3577385544776917</v>
      </c>
      <c r="G49">
        <v>10.513085788803746</v>
      </c>
      <c r="H49">
        <v>22.845960807713006</v>
      </c>
    </row>
    <row r="50" spans="1:8" x14ac:dyDescent="0.55000000000000004">
      <c r="A50">
        <v>47</v>
      </c>
      <c r="B50">
        <v>9.8847378497240257</v>
      </c>
      <c r="C50">
        <v>4.8771612644195557</v>
      </c>
      <c r="D50">
        <v>12.600885281819915</v>
      </c>
      <c r="E50">
        <v>9.8847378497240257</v>
      </c>
      <c r="F50">
        <v>4.8771612644195557</v>
      </c>
      <c r="G50">
        <v>12.600885281819915</v>
      </c>
      <c r="H50">
        <v>27.362784395963494</v>
      </c>
    </row>
    <row r="51" spans="1:8" x14ac:dyDescent="0.55000000000000004">
      <c r="A51">
        <v>48</v>
      </c>
      <c r="B51">
        <v>10.358215005178979</v>
      </c>
      <c r="C51">
        <v>4.3254653811454773</v>
      </c>
      <c r="D51">
        <v>11.833833503408105</v>
      </c>
      <c r="E51">
        <v>10.358215005178979</v>
      </c>
      <c r="F51">
        <v>4.3254653811454773</v>
      </c>
      <c r="G51">
        <v>11.833833503408105</v>
      </c>
      <c r="H51">
        <v>26.517513889732562</v>
      </c>
    </row>
    <row r="52" spans="1:8" x14ac:dyDescent="0.55000000000000004">
      <c r="A52">
        <v>49</v>
      </c>
      <c r="B52">
        <v>8.9058390976906381</v>
      </c>
      <c r="C52">
        <v>2.1453875303268433</v>
      </c>
      <c r="D52">
        <v>11.375287069351231</v>
      </c>
      <c r="E52">
        <v>8.9058390976906381</v>
      </c>
      <c r="F52">
        <v>2.1453875303268433</v>
      </c>
      <c r="G52">
        <v>11.375287069351231</v>
      </c>
      <c r="H52">
        <v>22.426513697368712</v>
      </c>
    </row>
    <row r="53" spans="1:8" x14ac:dyDescent="0.55000000000000004">
      <c r="A53">
        <v>50</v>
      </c>
      <c r="B53">
        <v>9.7946236900203001</v>
      </c>
      <c r="C53">
        <v>2.4933903813362122</v>
      </c>
      <c r="D53">
        <v>11.759757089541246</v>
      </c>
      <c r="E53">
        <v>9.7946236900203001</v>
      </c>
      <c r="F53">
        <v>2.4933903813362122</v>
      </c>
      <c r="G53">
        <v>11.759757089541246</v>
      </c>
      <c r="H53">
        <v>24.04777116089776</v>
      </c>
    </row>
    <row r="54" spans="1:8" x14ac:dyDescent="0.55000000000000004">
      <c r="A54">
        <v>51</v>
      </c>
      <c r="B54">
        <v>10.473712923082621</v>
      </c>
      <c r="C54">
        <v>4.165489673614502</v>
      </c>
      <c r="D54">
        <v>11.969733007947204</v>
      </c>
      <c r="E54">
        <v>10.473712923082621</v>
      </c>
      <c r="F54">
        <v>4.165489673614502</v>
      </c>
      <c r="G54">
        <v>11.969733007947204</v>
      </c>
      <c r="H54">
        <v>26.608935604644326</v>
      </c>
    </row>
    <row r="55" spans="1:8" x14ac:dyDescent="0.55000000000000004">
      <c r="A55">
        <v>52</v>
      </c>
      <c r="B55">
        <v>8.9980102693637551</v>
      </c>
      <c r="C55">
        <v>3.1155495047569275</v>
      </c>
      <c r="D55">
        <v>13.515758921992674</v>
      </c>
      <c r="E55">
        <v>8.9980102693637551</v>
      </c>
      <c r="F55">
        <v>3.1155495047569275</v>
      </c>
      <c r="G55">
        <v>13.515758921992674</v>
      </c>
      <c r="H55">
        <v>25.629318696113359</v>
      </c>
    </row>
    <row r="56" spans="1:8" x14ac:dyDescent="0.55000000000000004">
      <c r="A56">
        <v>53</v>
      </c>
      <c r="B56">
        <v>10.432898466188581</v>
      </c>
      <c r="C56">
        <v>3.539434552192688</v>
      </c>
      <c r="D56">
        <v>12.152095946744748</v>
      </c>
      <c r="E56">
        <v>10.432898466188581</v>
      </c>
      <c r="F56">
        <v>3.539434552192688</v>
      </c>
      <c r="G56">
        <v>12.152095946744748</v>
      </c>
      <c r="H56">
        <v>26.124428965126015</v>
      </c>
    </row>
    <row r="57" spans="1:8" x14ac:dyDescent="0.55000000000000004">
      <c r="A57">
        <v>54</v>
      </c>
      <c r="B57">
        <v>10.539907512731718</v>
      </c>
      <c r="C57">
        <v>4.4935250878334045</v>
      </c>
      <c r="D57">
        <v>12.859155373806642</v>
      </c>
      <c r="E57">
        <v>10.539907512731718</v>
      </c>
      <c r="F57">
        <v>4.4935250878334045</v>
      </c>
      <c r="G57">
        <v>12.859155373806642</v>
      </c>
      <c r="H57">
        <v>27.892587974371764</v>
      </c>
    </row>
    <row r="58" spans="1:8" x14ac:dyDescent="0.55000000000000004">
      <c r="A58">
        <v>55</v>
      </c>
      <c r="B58">
        <v>9.1737792671356768</v>
      </c>
      <c r="C58">
        <v>4.1479365825653076</v>
      </c>
      <c r="D58">
        <v>12.043306387621262</v>
      </c>
      <c r="E58">
        <v>9.1737792671356768</v>
      </c>
      <c r="F58">
        <v>4.1479365825653076</v>
      </c>
      <c r="G58">
        <v>12.043306387621262</v>
      </c>
      <c r="H58">
        <v>25.365022237322247</v>
      </c>
    </row>
    <row r="59" spans="1:8" x14ac:dyDescent="0.55000000000000004">
      <c r="A59">
        <v>56</v>
      </c>
      <c r="B59">
        <v>10.476846418510734</v>
      </c>
      <c r="C59">
        <v>3.2152153849601746</v>
      </c>
      <c r="D59">
        <v>12.324118623031264</v>
      </c>
      <c r="E59">
        <v>10.476846418510734</v>
      </c>
      <c r="F59">
        <v>3.2152153849601746</v>
      </c>
      <c r="G59">
        <v>12.324118623031264</v>
      </c>
      <c r="H59">
        <v>26.016180426502174</v>
      </c>
    </row>
    <row r="60" spans="1:8" x14ac:dyDescent="0.55000000000000004">
      <c r="A60">
        <v>57</v>
      </c>
      <c r="B60">
        <v>9.7071062570249875</v>
      </c>
      <c r="C60">
        <v>4.2036803960800171</v>
      </c>
      <c r="D60">
        <v>13.101679628947847</v>
      </c>
      <c r="E60">
        <v>9.7071062570249875</v>
      </c>
      <c r="F60">
        <v>4.2036803960800171</v>
      </c>
      <c r="G60">
        <v>13.101679628947847</v>
      </c>
      <c r="H60">
        <v>27.012466282052852</v>
      </c>
    </row>
    <row r="61" spans="1:8" x14ac:dyDescent="0.55000000000000004">
      <c r="A61">
        <v>58</v>
      </c>
      <c r="B61">
        <v>11.461736716467071</v>
      </c>
      <c r="C61">
        <v>3.2178228497505188</v>
      </c>
      <c r="D61">
        <v>11.215068048212069</v>
      </c>
      <c r="E61">
        <v>11.461736716467071</v>
      </c>
      <c r="F61">
        <v>3.2178228497505188</v>
      </c>
      <c r="G61">
        <v>11.215068048212069</v>
      </c>
      <c r="H61">
        <v>25.894627614429659</v>
      </c>
    </row>
    <row r="62" spans="1:8" x14ac:dyDescent="0.55000000000000004">
      <c r="A62">
        <v>59</v>
      </c>
      <c r="B62">
        <v>12.098255375983097</v>
      </c>
      <c r="C62">
        <v>2.0506372451782227</v>
      </c>
      <c r="D62">
        <v>12.734923527789604</v>
      </c>
      <c r="E62">
        <v>12.098255375983097</v>
      </c>
      <c r="F62">
        <v>2.0506372451782227</v>
      </c>
      <c r="G62">
        <v>12.734923527789604</v>
      </c>
      <c r="H62">
        <v>26.883816148950924</v>
      </c>
    </row>
    <row r="63" spans="1:8" x14ac:dyDescent="0.55000000000000004">
      <c r="A63">
        <v>60</v>
      </c>
      <c r="B63">
        <v>8.5303669612144848</v>
      </c>
      <c r="C63">
        <v>4.7063111662864685</v>
      </c>
      <c r="D63">
        <v>13.764441707252582</v>
      </c>
      <c r="E63">
        <v>8.5303669612144848</v>
      </c>
      <c r="F63">
        <v>4.7063111662864685</v>
      </c>
      <c r="G63">
        <v>13.764441707252582</v>
      </c>
      <c r="H63">
        <v>27.001119834753535</v>
      </c>
    </row>
    <row r="64" spans="1:8" x14ac:dyDescent="0.55000000000000004">
      <c r="A64">
        <v>61</v>
      </c>
      <c r="B64">
        <v>9.3219814602647162</v>
      </c>
      <c r="C64">
        <v>2.8657251596450806</v>
      </c>
      <c r="D64">
        <v>12.918197916415119</v>
      </c>
      <c r="E64">
        <v>9.3219814602647162</v>
      </c>
      <c r="F64">
        <v>2.8657251596450806</v>
      </c>
      <c r="G64">
        <v>12.918197916415119</v>
      </c>
      <c r="H64">
        <v>25.105904536324914</v>
      </c>
    </row>
    <row r="65" spans="1:8" x14ac:dyDescent="0.55000000000000004">
      <c r="A65">
        <v>62</v>
      </c>
      <c r="B65">
        <v>9.9548976594768348</v>
      </c>
      <c r="C65">
        <v>4.7085810303688049</v>
      </c>
      <c r="D65">
        <v>12.976519257407348</v>
      </c>
      <c r="E65">
        <v>9.9548976594768348</v>
      </c>
      <c r="F65">
        <v>4.7085810303688049</v>
      </c>
      <c r="G65">
        <v>12.976519257407348</v>
      </c>
      <c r="H65">
        <v>27.639997947252986</v>
      </c>
    </row>
    <row r="66" spans="1:8" x14ac:dyDescent="0.55000000000000004">
      <c r="A66">
        <v>63</v>
      </c>
      <c r="B66">
        <v>11.324516810557119</v>
      </c>
      <c r="C66">
        <v>2.1690628528594971</v>
      </c>
      <c r="D66">
        <v>12.588061072313767</v>
      </c>
      <c r="E66">
        <v>11.324516810557119</v>
      </c>
      <c r="F66">
        <v>2.1690628528594971</v>
      </c>
      <c r="G66">
        <v>12.588061072313767</v>
      </c>
      <c r="H66">
        <v>26.081640735730382</v>
      </c>
    </row>
    <row r="67" spans="1:8" x14ac:dyDescent="0.55000000000000004">
      <c r="A67">
        <v>64</v>
      </c>
      <c r="B67">
        <v>8.3413724014513875</v>
      </c>
      <c r="C67">
        <v>2.7986146807670593</v>
      </c>
      <c r="D67">
        <v>13.03008695169823</v>
      </c>
      <c r="E67">
        <v>8.3413724014513875</v>
      </c>
      <c r="F67">
        <v>2.7986146807670593</v>
      </c>
      <c r="G67">
        <v>13.03008695169823</v>
      </c>
      <c r="H67">
        <v>24.170074033916677</v>
      </c>
    </row>
    <row r="68" spans="1:8" x14ac:dyDescent="0.55000000000000004">
      <c r="A68">
        <v>65</v>
      </c>
      <c r="B68">
        <v>10.450131111632075</v>
      </c>
      <c r="C68">
        <v>3.7990673780441284</v>
      </c>
      <c r="D68">
        <v>11.782059836754129</v>
      </c>
      <c r="E68">
        <v>10.450131111632075</v>
      </c>
      <c r="F68">
        <v>3.7990673780441284</v>
      </c>
      <c r="G68">
        <v>11.782059836754129</v>
      </c>
      <c r="H68">
        <v>26.031258326430333</v>
      </c>
    </row>
    <row r="69" spans="1:8" x14ac:dyDescent="0.55000000000000004">
      <c r="A69">
        <v>66</v>
      </c>
      <c r="B69">
        <v>10.003982296384747</v>
      </c>
      <c r="C69">
        <v>3.2688391804695129</v>
      </c>
      <c r="D69">
        <v>11.131971375834755</v>
      </c>
      <c r="E69">
        <v>10.003982296384747</v>
      </c>
      <c r="F69">
        <v>3.2688391804695129</v>
      </c>
      <c r="G69">
        <v>11.131971375834755</v>
      </c>
      <c r="H69">
        <v>24.404792852689013</v>
      </c>
    </row>
    <row r="70" spans="1:8" x14ac:dyDescent="0.55000000000000004">
      <c r="A70">
        <v>67</v>
      </c>
      <c r="B70">
        <v>11.354640939120387</v>
      </c>
      <c r="C70">
        <v>4.7586455345153809</v>
      </c>
      <c r="D70">
        <v>12.442483386152428</v>
      </c>
      <c r="E70">
        <v>11.354640939120387</v>
      </c>
      <c r="F70">
        <v>4.7586455345153809</v>
      </c>
      <c r="G70">
        <v>12.442483386152428</v>
      </c>
      <c r="H70">
        <v>28.555769859788196</v>
      </c>
    </row>
    <row r="71" spans="1:8" x14ac:dyDescent="0.55000000000000004">
      <c r="A71">
        <v>68</v>
      </c>
      <c r="B71">
        <v>9.3665694823035111</v>
      </c>
      <c r="C71">
        <v>2.782958447933197</v>
      </c>
      <c r="D71">
        <v>12.854596841592517</v>
      </c>
      <c r="E71">
        <v>9.3665694823035111</v>
      </c>
      <c r="F71">
        <v>2.782958447933197</v>
      </c>
      <c r="G71">
        <v>12.854596841592517</v>
      </c>
      <c r="H71">
        <v>25.004124771829225</v>
      </c>
    </row>
    <row r="72" spans="1:8" x14ac:dyDescent="0.55000000000000004">
      <c r="A72">
        <v>69</v>
      </c>
      <c r="B72">
        <v>9.3619358116579505</v>
      </c>
      <c r="C72">
        <v>3.0887290239334106</v>
      </c>
      <c r="D72">
        <v>13.38797040082523</v>
      </c>
      <c r="E72">
        <v>9.3619358116579505</v>
      </c>
      <c r="F72">
        <v>3.0887290239334106</v>
      </c>
      <c r="G72">
        <v>13.38797040082523</v>
      </c>
      <c r="H72">
        <v>25.838635236416593</v>
      </c>
    </row>
    <row r="73" spans="1:8" x14ac:dyDescent="0.55000000000000004">
      <c r="A73">
        <v>70</v>
      </c>
      <c r="B73">
        <v>8.153558715597585</v>
      </c>
      <c r="C73">
        <v>4.2905040383338928</v>
      </c>
      <c r="D73">
        <v>12.20985907879755</v>
      </c>
      <c r="E73">
        <v>8.153558715597585</v>
      </c>
      <c r="F73">
        <v>4.2905040383338928</v>
      </c>
      <c r="G73">
        <v>12.20985907879755</v>
      </c>
      <c r="H73">
        <v>24.653921832729026</v>
      </c>
    </row>
    <row r="74" spans="1:8" x14ac:dyDescent="0.55000000000000004">
      <c r="A74">
        <v>71</v>
      </c>
      <c r="B74">
        <v>9.5552213382332312</v>
      </c>
      <c r="C74">
        <v>4.675403356552124</v>
      </c>
      <c r="D74">
        <v>10.799960949063866</v>
      </c>
      <c r="E74">
        <v>9.5552213382332312</v>
      </c>
      <c r="F74">
        <v>4.675403356552124</v>
      </c>
      <c r="G74">
        <v>10.799960949063866</v>
      </c>
      <c r="H74">
        <v>25.030585643849221</v>
      </c>
    </row>
    <row r="75" spans="1:8" x14ac:dyDescent="0.55000000000000004">
      <c r="A75">
        <v>72</v>
      </c>
      <c r="B75">
        <v>10.194763377582369</v>
      </c>
      <c r="C75">
        <v>2.7343546748161316</v>
      </c>
      <c r="D75">
        <v>11.4030007865996</v>
      </c>
      <c r="E75">
        <v>10.194763377582369</v>
      </c>
      <c r="F75">
        <v>2.7343546748161316</v>
      </c>
      <c r="G75">
        <v>11.4030007865996</v>
      </c>
      <c r="H75">
        <v>24.332118838998099</v>
      </c>
    </row>
    <row r="76" spans="1:8" x14ac:dyDescent="0.55000000000000004">
      <c r="A76">
        <v>73</v>
      </c>
      <c r="B76">
        <v>10.800471833928679</v>
      </c>
      <c r="C76">
        <v>2.6468805074691772</v>
      </c>
      <c r="D76">
        <v>13.444337259354228</v>
      </c>
      <c r="E76">
        <v>10.800471833928679</v>
      </c>
      <c r="F76">
        <v>2.6468805074691772</v>
      </c>
      <c r="G76">
        <v>13.444337259354228</v>
      </c>
      <c r="H76">
        <v>26.891689600752084</v>
      </c>
    </row>
    <row r="77" spans="1:8" x14ac:dyDescent="0.55000000000000004">
      <c r="A77">
        <v>74</v>
      </c>
      <c r="B77">
        <v>9.8821419633697243</v>
      </c>
      <c r="C77">
        <v>2.8324745297431946</v>
      </c>
      <c r="D77">
        <v>11.99289047703598</v>
      </c>
      <c r="E77">
        <v>9.8821419633697243</v>
      </c>
      <c r="F77">
        <v>2.8324745297431946</v>
      </c>
      <c r="G77">
        <v>11.99289047703598</v>
      </c>
      <c r="H77">
        <v>24.707506970148899</v>
      </c>
    </row>
    <row r="78" spans="1:8" x14ac:dyDescent="0.55000000000000004">
      <c r="A78">
        <v>75</v>
      </c>
      <c r="B78">
        <v>9.9890278009095272</v>
      </c>
      <c r="C78">
        <v>2.7665653228759766</v>
      </c>
      <c r="D78">
        <v>12.755093498541491</v>
      </c>
      <c r="E78">
        <v>9.9890278009095272</v>
      </c>
      <c r="F78">
        <v>2.7665653228759766</v>
      </c>
      <c r="G78">
        <v>12.755093498541491</v>
      </c>
      <c r="H78">
        <v>25.510686622326993</v>
      </c>
    </row>
    <row r="79" spans="1:8" x14ac:dyDescent="0.55000000000000004">
      <c r="A79">
        <v>76</v>
      </c>
      <c r="B79">
        <v>10.294291539351132</v>
      </c>
      <c r="C79">
        <v>3.965120255947113</v>
      </c>
      <c r="D79">
        <v>12.771965513422652</v>
      </c>
      <c r="E79">
        <v>10.294291539351132</v>
      </c>
      <c r="F79">
        <v>3.965120255947113</v>
      </c>
      <c r="G79">
        <v>12.771965513422652</v>
      </c>
      <c r="H79">
        <v>27.031377308720899</v>
      </c>
    </row>
    <row r="80" spans="1:8" x14ac:dyDescent="0.55000000000000004">
      <c r="A80">
        <v>77</v>
      </c>
      <c r="B80">
        <v>9.8387395602515895</v>
      </c>
      <c r="C80">
        <v>3.9784656763076782</v>
      </c>
      <c r="D80">
        <v>12.75913515456881</v>
      </c>
      <c r="E80">
        <v>9.8387395602515895</v>
      </c>
      <c r="F80">
        <v>3.9784656763076782</v>
      </c>
      <c r="G80">
        <v>12.75913515456881</v>
      </c>
      <c r="H80">
        <v>26.576340391128078</v>
      </c>
    </row>
    <row r="81" spans="1:8" x14ac:dyDescent="0.55000000000000004">
      <c r="A81">
        <v>78</v>
      </c>
      <c r="B81">
        <v>8.9510500092592977</v>
      </c>
      <c r="C81">
        <v>4.9487667679786682</v>
      </c>
      <c r="D81">
        <v>11.632263675426161</v>
      </c>
      <c r="E81">
        <v>8.9510500092592977</v>
      </c>
      <c r="F81">
        <v>4.9487667679786682</v>
      </c>
      <c r="G81">
        <v>11.632263675426161</v>
      </c>
      <c r="H81">
        <v>25.532080452664125</v>
      </c>
    </row>
    <row r="82" spans="1:8" x14ac:dyDescent="0.55000000000000004">
      <c r="A82">
        <v>79</v>
      </c>
      <c r="B82">
        <v>10.312890134739774</v>
      </c>
      <c r="C82">
        <v>3.0111963748931885</v>
      </c>
      <c r="D82">
        <v>13.781927517163135</v>
      </c>
      <c r="E82">
        <v>10.312890134739774</v>
      </c>
      <c r="F82">
        <v>3.0111963748931885</v>
      </c>
      <c r="G82">
        <v>13.781927517163135</v>
      </c>
      <c r="H82">
        <v>27.106014026796096</v>
      </c>
    </row>
    <row r="83" spans="1:8" x14ac:dyDescent="0.55000000000000004">
      <c r="A83">
        <v>80</v>
      </c>
      <c r="B83">
        <v>10.159961435165677</v>
      </c>
      <c r="C83">
        <v>4.2280017733573914</v>
      </c>
      <c r="D83">
        <v>13.91829033407598</v>
      </c>
      <c r="E83">
        <v>10.159961435165677</v>
      </c>
      <c r="F83">
        <v>4.2280017733573914</v>
      </c>
      <c r="G83">
        <v>13.91829033407598</v>
      </c>
      <c r="H83">
        <v>28.306253542599048</v>
      </c>
    </row>
    <row r="84" spans="1:8" x14ac:dyDescent="0.55000000000000004">
      <c r="A84">
        <v>81</v>
      </c>
      <c r="B84">
        <v>9.4137754039277155</v>
      </c>
      <c r="C84">
        <v>2.6968268156051636</v>
      </c>
      <c r="D84">
        <v>14.049100785689237</v>
      </c>
      <c r="E84">
        <v>9.4137754039277155</v>
      </c>
      <c r="F84">
        <v>2.6968268156051636</v>
      </c>
      <c r="G84">
        <v>14.049100785689237</v>
      </c>
      <c r="H84">
        <v>26.159703005222116</v>
      </c>
    </row>
    <row r="85" spans="1:8" x14ac:dyDescent="0.55000000000000004">
      <c r="A85">
        <v>82</v>
      </c>
      <c r="B85">
        <v>9.8100834617840178</v>
      </c>
      <c r="C85">
        <v>4.7666390538215637</v>
      </c>
      <c r="D85">
        <v>13.284640448422088</v>
      </c>
      <c r="E85">
        <v>9.8100834617840178</v>
      </c>
      <c r="F85">
        <v>4.7666390538215637</v>
      </c>
      <c r="G85">
        <v>13.284640448422088</v>
      </c>
      <c r="H85">
        <v>27.86136296402767</v>
      </c>
    </row>
    <row r="86" spans="1:8" x14ac:dyDescent="0.55000000000000004">
      <c r="A86">
        <v>83</v>
      </c>
      <c r="B86">
        <v>11.257973549262729</v>
      </c>
      <c r="C86">
        <v>4.4108223915100098</v>
      </c>
      <c r="D86">
        <v>12.350329019620725</v>
      </c>
      <c r="E86">
        <v>11.257973549262729</v>
      </c>
      <c r="F86">
        <v>4.4108223915100098</v>
      </c>
      <c r="G86">
        <v>12.350329019620725</v>
      </c>
      <c r="H86">
        <v>28.019124960393462</v>
      </c>
    </row>
    <row r="87" spans="1:8" x14ac:dyDescent="0.55000000000000004">
      <c r="A87">
        <v>84</v>
      </c>
      <c r="B87">
        <v>9.1999646548288254</v>
      </c>
      <c r="C87">
        <v>3.6693004965782166</v>
      </c>
      <c r="D87">
        <v>13.427869909216639</v>
      </c>
      <c r="E87">
        <v>9.1999646548288254</v>
      </c>
      <c r="F87">
        <v>3.6693004965782166</v>
      </c>
      <c r="G87">
        <v>13.427869909216639</v>
      </c>
      <c r="H87">
        <v>26.297135060623681</v>
      </c>
    </row>
    <row r="88" spans="1:8" x14ac:dyDescent="0.55000000000000004">
      <c r="A88">
        <v>85</v>
      </c>
      <c r="B88">
        <v>7.8839437521695057</v>
      </c>
      <c r="C88">
        <v>4.7893296480178833</v>
      </c>
      <c r="D88">
        <v>12.196478711586144</v>
      </c>
      <c r="E88">
        <v>7.8839437521695057</v>
      </c>
      <c r="F88">
        <v>4.7893296480178833</v>
      </c>
      <c r="G88">
        <v>12.196478711586144</v>
      </c>
      <c r="H88">
        <v>24.869752111773533</v>
      </c>
    </row>
    <row r="89" spans="1:8" x14ac:dyDescent="0.55000000000000004">
      <c r="A89">
        <v>86</v>
      </c>
      <c r="B89">
        <v>10.509287608968705</v>
      </c>
      <c r="C89">
        <v>4.3147168755531311</v>
      </c>
      <c r="D89">
        <v>13.482508599244401</v>
      </c>
      <c r="E89">
        <v>10.509287608968705</v>
      </c>
      <c r="F89">
        <v>4.3147168755531311</v>
      </c>
      <c r="G89">
        <v>13.482508599244401</v>
      </c>
      <c r="H89">
        <v>28.306513083766237</v>
      </c>
    </row>
    <row r="90" spans="1:8" x14ac:dyDescent="0.55000000000000004">
      <c r="A90">
        <v>87</v>
      </c>
      <c r="B90">
        <v>10.984052756898242</v>
      </c>
      <c r="C90">
        <v>2.6300551891326904</v>
      </c>
      <c r="D90">
        <v>10.418230064204272</v>
      </c>
      <c r="E90">
        <v>10.984052756898242</v>
      </c>
      <c r="F90">
        <v>2.6300551891326904</v>
      </c>
      <c r="G90">
        <v>10.418230064204272</v>
      </c>
      <c r="H90">
        <v>24.032338010235204</v>
      </c>
    </row>
    <row r="91" spans="1:8" x14ac:dyDescent="0.55000000000000004">
      <c r="A91">
        <v>88</v>
      </c>
      <c r="B91">
        <v>9.3416422317981915</v>
      </c>
      <c r="C91">
        <v>2.5319973826408386</v>
      </c>
      <c r="D91">
        <v>11.666113721993817</v>
      </c>
      <c r="E91">
        <v>9.3416422317981915</v>
      </c>
      <c r="F91">
        <v>2.5319973826408386</v>
      </c>
      <c r="G91">
        <v>11.666113721993817</v>
      </c>
      <c r="H91">
        <v>23.539753336432845</v>
      </c>
    </row>
    <row r="92" spans="1:8" x14ac:dyDescent="0.55000000000000004">
      <c r="A92">
        <v>89</v>
      </c>
      <c r="B92">
        <v>11.766608875091212</v>
      </c>
      <c r="C92">
        <v>4.6329883337020874</v>
      </c>
      <c r="D92">
        <v>11.944410950130022</v>
      </c>
      <c r="E92">
        <v>11.766608875091212</v>
      </c>
      <c r="F92">
        <v>4.6329883337020874</v>
      </c>
      <c r="G92">
        <v>11.944410950130022</v>
      </c>
      <c r="H92">
        <v>28.344008158923323</v>
      </c>
    </row>
    <row r="93" spans="1:8" x14ac:dyDescent="0.55000000000000004">
      <c r="A93">
        <v>90</v>
      </c>
      <c r="B93">
        <v>11.208617733994785</v>
      </c>
      <c r="C93">
        <v>4.1011179089546204</v>
      </c>
      <c r="D93">
        <v>12.001016669881608</v>
      </c>
      <c r="E93">
        <v>11.208617733994785</v>
      </c>
      <c r="F93">
        <v>4.1011179089546204</v>
      </c>
      <c r="G93">
        <v>12.001016669881608</v>
      </c>
      <c r="H93">
        <v>27.310752312831013</v>
      </c>
    </row>
    <row r="94" spans="1:8" x14ac:dyDescent="0.55000000000000004">
      <c r="A94">
        <v>91</v>
      </c>
      <c r="B94">
        <v>11.384928291441275</v>
      </c>
      <c r="C94">
        <v>4.3872175216674805</v>
      </c>
      <c r="D94">
        <v>11.603327267325353</v>
      </c>
      <c r="E94">
        <v>11.384928291441275</v>
      </c>
      <c r="F94">
        <v>4.3872175216674805</v>
      </c>
      <c r="G94">
        <v>11.603327267325353</v>
      </c>
      <c r="H94">
        <v>27.375473080434109</v>
      </c>
    </row>
    <row r="95" spans="1:8" x14ac:dyDescent="0.55000000000000004">
      <c r="A95">
        <v>92</v>
      </c>
      <c r="B95">
        <v>10.987028020087203</v>
      </c>
      <c r="C95">
        <v>2.6088780760765076</v>
      </c>
      <c r="D95">
        <v>11.670511777318493</v>
      </c>
      <c r="E95">
        <v>10.987028020087203</v>
      </c>
      <c r="F95">
        <v>2.6088780760765076</v>
      </c>
      <c r="G95">
        <v>11.670511777318493</v>
      </c>
      <c r="H95">
        <v>25.266417873482204</v>
      </c>
    </row>
    <row r="96" spans="1:8" x14ac:dyDescent="0.55000000000000004">
      <c r="A96">
        <v>93</v>
      </c>
      <c r="B96">
        <v>9.3769445240244895</v>
      </c>
      <c r="C96">
        <v>2.7600904703140259</v>
      </c>
      <c r="D96">
        <v>11.998106149221208</v>
      </c>
      <c r="E96">
        <v>9.3769445240244895</v>
      </c>
      <c r="F96">
        <v>2.7600904703140259</v>
      </c>
      <c r="G96">
        <v>11.998106149221208</v>
      </c>
      <c r="H96">
        <v>24.135141143559721</v>
      </c>
    </row>
    <row r="97" spans="1:8" x14ac:dyDescent="0.55000000000000004">
      <c r="A97">
        <v>94</v>
      </c>
      <c r="B97">
        <v>8.8352680502017407</v>
      </c>
      <c r="C97">
        <v>3.4415770173072815</v>
      </c>
      <c r="D97">
        <v>14.031558424301821</v>
      </c>
      <c r="E97">
        <v>8.8352680502017407</v>
      </c>
      <c r="F97">
        <v>3.4415770173072815</v>
      </c>
      <c r="G97">
        <v>14.031558424301821</v>
      </c>
      <c r="H97">
        <v>26.308403491810843</v>
      </c>
    </row>
    <row r="98" spans="1:8" x14ac:dyDescent="0.55000000000000004">
      <c r="A98">
        <v>95</v>
      </c>
      <c r="B98">
        <v>9.7703024912240366</v>
      </c>
      <c r="C98">
        <v>3.5949680805206299</v>
      </c>
      <c r="D98">
        <v>12.468824634945898</v>
      </c>
      <c r="E98">
        <v>9.7703024912240366</v>
      </c>
      <c r="F98">
        <v>3.5949680805206299</v>
      </c>
      <c r="G98">
        <v>12.468824634945898</v>
      </c>
      <c r="H98">
        <v>25.834095206690563</v>
      </c>
    </row>
    <row r="99" spans="1:8" x14ac:dyDescent="0.55000000000000004">
      <c r="A99">
        <v>96</v>
      </c>
      <c r="B99">
        <v>9.6220236334291904</v>
      </c>
      <c r="C99">
        <v>3.4456579089164734</v>
      </c>
      <c r="D99">
        <v>12.134530418392373</v>
      </c>
      <c r="E99">
        <v>9.6220236334291904</v>
      </c>
      <c r="F99">
        <v>3.4456579089164734</v>
      </c>
      <c r="G99">
        <v>12.134530418392373</v>
      </c>
      <c r="H99">
        <v>25.202211960738037</v>
      </c>
    </row>
    <row r="100" spans="1:8" x14ac:dyDescent="0.55000000000000004">
      <c r="A100">
        <v>97</v>
      </c>
      <c r="B100">
        <v>9.791185965962157</v>
      </c>
      <c r="C100">
        <v>3.3738220930099487</v>
      </c>
      <c r="D100">
        <v>12.406755393215262</v>
      </c>
      <c r="E100">
        <v>9.791185965962157</v>
      </c>
      <c r="F100">
        <v>3.3738220930099487</v>
      </c>
      <c r="G100">
        <v>12.406755393215262</v>
      </c>
      <c r="H100">
        <v>25.571763452187369</v>
      </c>
    </row>
    <row r="101" spans="1:8" x14ac:dyDescent="0.55000000000000004">
      <c r="A101">
        <v>98</v>
      </c>
      <c r="B101">
        <v>10.350860525174546</v>
      </c>
      <c r="C101">
        <v>4.5375712513923645</v>
      </c>
      <c r="D101">
        <v>14.069224633451098</v>
      </c>
      <c r="E101">
        <v>10.350860525174546</v>
      </c>
      <c r="F101">
        <v>4.5375712513923645</v>
      </c>
      <c r="G101">
        <v>14.069224633451098</v>
      </c>
      <c r="H101">
        <v>28.957656410018011</v>
      </c>
    </row>
    <row r="102" spans="1:8" x14ac:dyDescent="0.55000000000000004">
      <c r="A102">
        <v>99</v>
      </c>
      <c r="B102">
        <v>10.009869816635073</v>
      </c>
      <c r="C102">
        <v>3.2509264945983887</v>
      </c>
      <c r="D102">
        <v>14.08639899924637</v>
      </c>
      <c r="E102">
        <v>10.009869816635073</v>
      </c>
      <c r="F102">
        <v>3.2509264945983887</v>
      </c>
      <c r="G102">
        <v>14.08639899924637</v>
      </c>
      <c r="H102">
        <v>27.347195310479833</v>
      </c>
    </row>
    <row r="103" spans="1:8" x14ac:dyDescent="0.55000000000000004">
      <c r="A103">
        <v>100</v>
      </c>
      <c r="B103">
        <v>9.961136711320842</v>
      </c>
      <c r="C103">
        <v>2.2941069006919861</v>
      </c>
      <c r="D103">
        <v>12.761986314079056</v>
      </c>
      <c r="E103">
        <v>9.961136711320842</v>
      </c>
      <c r="F103">
        <v>2.2941069006919861</v>
      </c>
      <c r="G103">
        <v>12.761986314079056</v>
      </c>
      <c r="H103">
        <v>25.017229926091886</v>
      </c>
    </row>
    <row r="104" spans="1:8" x14ac:dyDescent="0.55000000000000004">
      <c r="A104">
        <v>101</v>
      </c>
      <c r="B104">
        <v>11.764328704822617</v>
      </c>
      <c r="C104">
        <v>3.613892674446106</v>
      </c>
      <c r="D104">
        <v>14.282415298051816</v>
      </c>
      <c r="E104">
        <v>11.764328704822617</v>
      </c>
      <c r="F104">
        <v>3.613892674446106</v>
      </c>
      <c r="G104">
        <v>14.282415298051816</v>
      </c>
      <c r="H104">
        <v>29.660636677320539</v>
      </c>
    </row>
    <row r="105" spans="1:8" x14ac:dyDescent="0.55000000000000004">
      <c r="A105">
        <v>102</v>
      </c>
      <c r="B105">
        <v>11.685149585631249</v>
      </c>
      <c r="C105">
        <v>2.3044448494911194</v>
      </c>
      <c r="D105">
        <v>12.910175644438709</v>
      </c>
      <c r="E105">
        <v>11.685149585631249</v>
      </c>
      <c r="F105">
        <v>2.3044448494911194</v>
      </c>
      <c r="G105">
        <v>12.910175644438709</v>
      </c>
      <c r="H105">
        <v>26.89977007956108</v>
      </c>
    </row>
    <row r="106" spans="1:8" x14ac:dyDescent="0.55000000000000004">
      <c r="A106">
        <v>103</v>
      </c>
      <c r="B106">
        <v>10.427738548515761</v>
      </c>
      <c r="C106">
        <v>2.0782983303070068</v>
      </c>
      <c r="D106">
        <v>12.241019034519436</v>
      </c>
      <c r="E106">
        <v>10.427738548515761</v>
      </c>
      <c r="F106">
        <v>2.0782983303070068</v>
      </c>
      <c r="G106">
        <v>12.241019034519436</v>
      </c>
      <c r="H106">
        <v>24.747055913342201</v>
      </c>
    </row>
    <row r="107" spans="1:8" x14ac:dyDescent="0.55000000000000004">
      <c r="A107">
        <v>104</v>
      </c>
      <c r="B107">
        <v>10.025226109888544</v>
      </c>
      <c r="C107">
        <v>3.8151747584342957</v>
      </c>
      <c r="D107">
        <v>14.266376717768834</v>
      </c>
      <c r="E107">
        <v>10.025226109888544</v>
      </c>
      <c r="F107">
        <v>3.8151747584342957</v>
      </c>
      <c r="G107">
        <v>14.266376717768834</v>
      </c>
      <c r="H107">
        <v>28.106777586091674</v>
      </c>
    </row>
    <row r="108" spans="1:8" x14ac:dyDescent="0.55000000000000004">
      <c r="A108">
        <v>105</v>
      </c>
      <c r="B108">
        <v>9.9846112508244822</v>
      </c>
      <c r="C108">
        <v>4.5721601247787476</v>
      </c>
      <c r="D108">
        <v>14.883160153132026</v>
      </c>
      <c r="E108">
        <v>9.9846112508244822</v>
      </c>
      <c r="F108">
        <v>4.5721601247787476</v>
      </c>
      <c r="G108">
        <v>14.883160153132026</v>
      </c>
      <c r="H108">
        <v>29.439931528735258</v>
      </c>
    </row>
    <row r="109" spans="1:8" x14ac:dyDescent="0.55000000000000004">
      <c r="A109">
        <v>106</v>
      </c>
      <c r="B109">
        <v>9.4837137211712026</v>
      </c>
      <c r="C109">
        <v>4.9495342373847961</v>
      </c>
      <c r="D109">
        <v>11.969375147793787</v>
      </c>
      <c r="E109">
        <v>9.4837137211712026</v>
      </c>
      <c r="F109">
        <v>4.9495342373847961</v>
      </c>
      <c r="G109">
        <v>11.969375147793787</v>
      </c>
      <c r="H109">
        <v>26.402623106349786</v>
      </c>
    </row>
    <row r="110" spans="1:8" x14ac:dyDescent="0.55000000000000004">
      <c r="A110">
        <v>107</v>
      </c>
      <c r="B110">
        <v>9.3006684270644229</v>
      </c>
      <c r="C110">
        <v>2.9165000915527344</v>
      </c>
      <c r="D110">
        <v>11.464323027564021</v>
      </c>
      <c r="E110">
        <v>9.3006684270644229</v>
      </c>
      <c r="F110">
        <v>2.9165000915527344</v>
      </c>
      <c r="G110">
        <v>11.464323027564021</v>
      </c>
      <c r="H110">
        <v>23.681491546181178</v>
      </c>
    </row>
    <row r="111" spans="1:8" x14ac:dyDescent="0.55000000000000004">
      <c r="A111">
        <v>108</v>
      </c>
      <c r="B111">
        <v>11.009609057081089</v>
      </c>
      <c r="C111">
        <v>3.5321158766746521</v>
      </c>
      <c r="D111">
        <v>13.024989409414752</v>
      </c>
      <c r="E111">
        <v>11.009609057081089</v>
      </c>
      <c r="F111">
        <v>3.5321158766746521</v>
      </c>
      <c r="G111">
        <v>13.024989409414752</v>
      </c>
      <c r="H111">
        <v>27.566714343170496</v>
      </c>
    </row>
    <row r="112" spans="1:8" x14ac:dyDescent="0.55000000000000004">
      <c r="A112">
        <v>109</v>
      </c>
      <c r="B112">
        <v>11.244071631323258</v>
      </c>
      <c r="C112">
        <v>2.0582557916641235</v>
      </c>
      <c r="D112">
        <v>12.540398188171491</v>
      </c>
      <c r="E112">
        <v>11.244071631323258</v>
      </c>
      <c r="F112">
        <v>2.0582557916641235</v>
      </c>
      <c r="G112">
        <v>12.540398188171491</v>
      </c>
      <c r="H112">
        <v>25.842725611158873</v>
      </c>
    </row>
    <row r="113" spans="1:8" x14ac:dyDescent="0.55000000000000004">
      <c r="A113">
        <v>110</v>
      </c>
      <c r="B113">
        <v>9.4571634782007337</v>
      </c>
      <c r="C113">
        <v>4.3002930283546448</v>
      </c>
      <c r="D113">
        <v>11.682684066249241</v>
      </c>
      <c r="E113">
        <v>9.4571634782007337</v>
      </c>
      <c r="F113">
        <v>4.3002930283546448</v>
      </c>
      <c r="G113">
        <v>11.682684066249241</v>
      </c>
      <c r="H113">
        <v>25.440140572804619</v>
      </c>
    </row>
    <row r="114" spans="1:8" x14ac:dyDescent="0.55000000000000004">
      <c r="A114">
        <v>111</v>
      </c>
      <c r="B114">
        <v>9.5461390722717354</v>
      </c>
      <c r="C114">
        <v>3.8617842197418213</v>
      </c>
      <c r="D114">
        <v>14.300544778756052</v>
      </c>
      <c r="E114">
        <v>9.5461390722717354</v>
      </c>
      <c r="F114">
        <v>3.8617842197418213</v>
      </c>
      <c r="G114">
        <v>14.300544778756052</v>
      </c>
      <c r="H114">
        <v>27.708468070769609</v>
      </c>
    </row>
    <row r="115" spans="1:8" x14ac:dyDescent="0.55000000000000004">
      <c r="A115">
        <v>112</v>
      </c>
      <c r="B115">
        <v>10.970509019248185</v>
      </c>
      <c r="C115">
        <v>2.0336143374443054</v>
      </c>
      <c r="D115">
        <v>11.254395861715915</v>
      </c>
      <c r="E115">
        <v>10.970509019248185</v>
      </c>
      <c r="F115">
        <v>2.0336143374443054</v>
      </c>
      <c r="G115">
        <v>11.254395861715915</v>
      </c>
      <c r="H115">
        <v>24.258519218408406</v>
      </c>
    </row>
    <row r="116" spans="1:8" x14ac:dyDescent="0.55000000000000004">
      <c r="A116">
        <v>113</v>
      </c>
      <c r="B116">
        <v>10.85541409325824</v>
      </c>
      <c r="C116">
        <v>2.1152094602584839</v>
      </c>
      <c r="D116">
        <v>13.772354822489131</v>
      </c>
      <c r="E116">
        <v>10.85541409325824</v>
      </c>
      <c r="F116">
        <v>2.1152094602584839</v>
      </c>
      <c r="G116">
        <v>13.772354822489131</v>
      </c>
      <c r="H116">
        <v>26.742978376005855</v>
      </c>
    </row>
    <row r="117" spans="1:8" x14ac:dyDescent="0.55000000000000004">
      <c r="A117">
        <v>114</v>
      </c>
      <c r="B117">
        <v>10.987112162370552</v>
      </c>
      <c r="C117">
        <v>3.8824170231819153</v>
      </c>
      <c r="D117">
        <v>11.997067327893552</v>
      </c>
      <c r="E117">
        <v>10.987112162370552</v>
      </c>
      <c r="F117">
        <v>3.8824170231819153</v>
      </c>
      <c r="G117">
        <v>11.997067327893552</v>
      </c>
      <c r="H117">
        <v>26.866596513446019</v>
      </c>
    </row>
    <row r="118" spans="1:8" x14ac:dyDescent="0.55000000000000004">
      <c r="A118">
        <v>115</v>
      </c>
      <c r="B118">
        <v>11.070229593285555</v>
      </c>
      <c r="C118">
        <v>2.1578640937805176</v>
      </c>
      <c r="D118">
        <v>12.891098287485107</v>
      </c>
      <c r="E118">
        <v>11.070229593285555</v>
      </c>
      <c r="F118">
        <v>2.1578640937805176</v>
      </c>
      <c r="G118">
        <v>12.891098287485107</v>
      </c>
      <c r="H118">
        <v>26.119191974551178</v>
      </c>
    </row>
    <row r="119" spans="1:8" x14ac:dyDescent="0.55000000000000004">
      <c r="A119">
        <v>116</v>
      </c>
      <c r="B119">
        <v>10.884024924327782</v>
      </c>
      <c r="C119">
        <v>4.9269089102745056</v>
      </c>
      <c r="D119">
        <v>13.368034874706678</v>
      </c>
      <c r="E119">
        <v>10.884024924327782</v>
      </c>
      <c r="F119">
        <v>4.9269089102745056</v>
      </c>
      <c r="G119">
        <v>13.368034874706678</v>
      </c>
      <c r="H119">
        <v>29.178968709308968</v>
      </c>
    </row>
    <row r="120" spans="1:8" x14ac:dyDescent="0.55000000000000004">
      <c r="A120">
        <v>117</v>
      </c>
      <c r="B120">
        <v>9.6708857894819786</v>
      </c>
      <c r="C120">
        <v>4.2850743532180786</v>
      </c>
      <c r="D120">
        <v>11.021331892430441</v>
      </c>
      <c r="E120">
        <v>9.6708857894819786</v>
      </c>
      <c r="F120">
        <v>4.2850743532180786</v>
      </c>
      <c r="G120">
        <v>11.021331892430441</v>
      </c>
      <c r="H120">
        <v>24.977292035130496</v>
      </c>
    </row>
    <row r="121" spans="1:8" x14ac:dyDescent="0.55000000000000004">
      <c r="A121">
        <v>118</v>
      </c>
      <c r="B121">
        <v>9.5379402020607458</v>
      </c>
      <c r="C121">
        <v>2.7479692101478577</v>
      </c>
      <c r="D121">
        <v>11.536421780771066</v>
      </c>
      <c r="E121">
        <v>9.5379402020607458</v>
      </c>
      <c r="F121">
        <v>2.7479692101478577</v>
      </c>
      <c r="G121">
        <v>11.536421780771066</v>
      </c>
      <c r="H121">
        <v>23.822331192979668</v>
      </c>
    </row>
    <row r="122" spans="1:8" x14ac:dyDescent="0.55000000000000004">
      <c r="A122">
        <v>119</v>
      </c>
      <c r="B122">
        <v>12.669850360695122</v>
      </c>
      <c r="C122">
        <v>4.8365390300750732</v>
      </c>
      <c r="D122">
        <v>14.169043254235913</v>
      </c>
      <c r="E122">
        <v>12.669850360695122</v>
      </c>
      <c r="F122">
        <v>4.8365390300750732</v>
      </c>
      <c r="G122">
        <v>14.169043254235913</v>
      </c>
      <c r="H122">
        <v>31.675432645006108</v>
      </c>
    </row>
    <row r="123" spans="1:8" x14ac:dyDescent="0.55000000000000004">
      <c r="A123">
        <v>120</v>
      </c>
      <c r="B123">
        <v>9.7073774514341959</v>
      </c>
      <c r="C123">
        <v>2.5409180521965027</v>
      </c>
      <c r="D123">
        <v>12.898710275647682</v>
      </c>
      <c r="E123">
        <v>9.7073774514341959</v>
      </c>
      <c r="F123">
        <v>2.5409180521965027</v>
      </c>
      <c r="G123">
        <v>12.898710275647682</v>
      </c>
      <c r="H123">
        <v>25.147005779278381</v>
      </c>
    </row>
    <row r="124" spans="1:8" x14ac:dyDescent="0.55000000000000004">
      <c r="A124">
        <v>121</v>
      </c>
      <c r="B124">
        <v>9.246746178227534</v>
      </c>
      <c r="C124">
        <v>3.6245521306991577</v>
      </c>
      <c r="D124">
        <v>12.468609531202898</v>
      </c>
      <c r="E124">
        <v>9.246746178227534</v>
      </c>
      <c r="F124">
        <v>3.6245521306991577</v>
      </c>
      <c r="G124">
        <v>12.468609531202898</v>
      </c>
      <c r="H124">
        <v>25.339907840129591</v>
      </c>
    </row>
    <row r="125" spans="1:8" x14ac:dyDescent="0.55000000000000004">
      <c r="A125">
        <v>122</v>
      </c>
      <c r="B125">
        <v>8.0569514931562622</v>
      </c>
      <c r="C125">
        <v>4.0535047650337219</v>
      </c>
      <c r="D125">
        <v>13.450524637349842</v>
      </c>
      <c r="E125">
        <v>8.0569514931562622</v>
      </c>
      <c r="F125">
        <v>4.0535047650337219</v>
      </c>
      <c r="G125">
        <v>13.450524637349842</v>
      </c>
      <c r="H125">
        <v>25.560980895539828</v>
      </c>
    </row>
    <row r="126" spans="1:8" x14ac:dyDescent="0.55000000000000004">
      <c r="A126">
        <v>123</v>
      </c>
      <c r="B126">
        <v>10.574973577530509</v>
      </c>
      <c r="C126">
        <v>4.1083192825317383</v>
      </c>
      <c r="D126">
        <v>12.441030922965862</v>
      </c>
      <c r="E126">
        <v>10.574973577530509</v>
      </c>
      <c r="F126">
        <v>4.1083192825317383</v>
      </c>
      <c r="G126">
        <v>12.441030922965862</v>
      </c>
      <c r="H126">
        <v>27.12432378302811</v>
      </c>
    </row>
    <row r="127" spans="1:8" x14ac:dyDescent="0.55000000000000004">
      <c r="A127">
        <v>124</v>
      </c>
      <c r="B127">
        <v>12.245145152639243</v>
      </c>
      <c r="C127">
        <v>4.3793649077415466</v>
      </c>
      <c r="D127">
        <v>11.770480139421938</v>
      </c>
      <c r="E127">
        <v>12.245145152639243</v>
      </c>
      <c r="F127">
        <v>4.3793649077415466</v>
      </c>
      <c r="G127">
        <v>11.770480139421938</v>
      </c>
      <c r="H127">
        <v>28.394990199802727</v>
      </c>
    </row>
    <row r="128" spans="1:8" x14ac:dyDescent="0.55000000000000004">
      <c r="A128">
        <v>125</v>
      </c>
      <c r="B128">
        <v>10.577520309171886</v>
      </c>
      <c r="C128">
        <v>2.4706178903579712</v>
      </c>
      <c r="D128">
        <v>11.382649859330545</v>
      </c>
      <c r="E128">
        <v>10.577520309171886</v>
      </c>
      <c r="F128">
        <v>2.4706178903579712</v>
      </c>
      <c r="G128">
        <v>11.382649859330545</v>
      </c>
      <c r="H128">
        <v>24.430788058860401</v>
      </c>
    </row>
    <row r="129" spans="1:8" x14ac:dyDescent="0.55000000000000004">
      <c r="A129">
        <v>126</v>
      </c>
      <c r="B129">
        <v>10.836245501060555</v>
      </c>
      <c r="C129">
        <v>3.3881960511207581</v>
      </c>
      <c r="D129">
        <v>10.981838773742671</v>
      </c>
      <c r="E129">
        <v>10.836245501060555</v>
      </c>
      <c r="F129">
        <v>3.3881960511207581</v>
      </c>
      <c r="G129">
        <v>10.981838773742671</v>
      </c>
      <c r="H129">
        <v>25.206280325923984</v>
      </c>
    </row>
    <row r="130" spans="1:8" x14ac:dyDescent="0.55000000000000004">
      <c r="A130">
        <v>127</v>
      </c>
      <c r="B130">
        <v>10.464387222109441</v>
      </c>
      <c r="C130">
        <v>4.5030510425567627</v>
      </c>
      <c r="D130">
        <v>12.790201150092994</v>
      </c>
      <c r="E130">
        <v>10.464387222109441</v>
      </c>
      <c r="F130">
        <v>4.5030510425567627</v>
      </c>
      <c r="G130">
        <v>12.790201150092994</v>
      </c>
      <c r="H130">
        <v>27.757639414759197</v>
      </c>
    </row>
    <row r="131" spans="1:8" x14ac:dyDescent="0.55000000000000004">
      <c r="A131">
        <v>128</v>
      </c>
      <c r="B131">
        <v>10.455573226635643</v>
      </c>
      <c r="C131">
        <v>2.3239023089408875</v>
      </c>
      <c r="D131">
        <v>11.050943581900693</v>
      </c>
      <c r="E131">
        <v>10.455573226635643</v>
      </c>
      <c r="F131">
        <v>2.3239023089408875</v>
      </c>
      <c r="G131">
        <v>11.050943581900693</v>
      </c>
      <c r="H131">
        <v>23.830419117477224</v>
      </c>
    </row>
    <row r="132" spans="1:8" x14ac:dyDescent="0.55000000000000004">
      <c r="A132">
        <v>129</v>
      </c>
      <c r="B132">
        <v>9.7552706702095673</v>
      </c>
      <c r="C132">
        <v>4.956145167350769</v>
      </c>
      <c r="D132">
        <v>14.443773122260799</v>
      </c>
      <c r="E132">
        <v>9.7552706702095673</v>
      </c>
      <c r="F132">
        <v>4.956145167350769</v>
      </c>
      <c r="G132">
        <v>14.443773122260799</v>
      </c>
      <c r="H132">
        <v>29.155188959821135</v>
      </c>
    </row>
    <row r="133" spans="1:8" x14ac:dyDescent="0.55000000000000004">
      <c r="A133">
        <v>130</v>
      </c>
      <c r="B133">
        <v>11.996569461626587</v>
      </c>
      <c r="C133">
        <v>4.8519576191902161</v>
      </c>
      <c r="D133">
        <v>11.670499289107436</v>
      </c>
      <c r="E133">
        <v>11.996569461626587</v>
      </c>
      <c r="F133">
        <v>4.8519576191902161</v>
      </c>
      <c r="G133">
        <v>11.670499289107436</v>
      </c>
      <c r="H133">
        <v>28.519026369924237</v>
      </c>
    </row>
    <row r="134" spans="1:8" x14ac:dyDescent="0.55000000000000004">
      <c r="A134">
        <v>131</v>
      </c>
      <c r="B134">
        <v>9.5554067239471667</v>
      </c>
      <c r="C134">
        <v>2.7605414390563965</v>
      </c>
      <c r="D134">
        <v>14.242372791093988</v>
      </c>
      <c r="E134">
        <v>9.5554067239471667</v>
      </c>
      <c r="F134">
        <v>2.7605414390563965</v>
      </c>
      <c r="G134">
        <v>14.242372791093988</v>
      </c>
      <c r="H134">
        <v>26.558320954097553</v>
      </c>
    </row>
    <row r="135" spans="1:8" x14ac:dyDescent="0.55000000000000004">
      <c r="A135">
        <v>132</v>
      </c>
      <c r="B135">
        <v>9.0607090553477185</v>
      </c>
      <c r="C135">
        <v>3.5872377753257751</v>
      </c>
      <c r="D135">
        <v>11.382117576339752</v>
      </c>
      <c r="E135">
        <v>9.0607090553477185</v>
      </c>
      <c r="F135">
        <v>3.5872377753257751</v>
      </c>
      <c r="G135">
        <v>11.382117576339752</v>
      </c>
      <c r="H135">
        <v>24.030064407013246</v>
      </c>
    </row>
    <row r="136" spans="1:8" x14ac:dyDescent="0.55000000000000004">
      <c r="A136">
        <v>133</v>
      </c>
      <c r="B136">
        <v>10.752526626500988</v>
      </c>
      <c r="C136">
        <v>3.2755309343338013</v>
      </c>
      <c r="D136">
        <v>14.138601604395763</v>
      </c>
      <c r="E136">
        <v>10.752526626500988</v>
      </c>
      <c r="F136">
        <v>3.2755309343338013</v>
      </c>
      <c r="G136">
        <v>14.138601604395763</v>
      </c>
      <c r="H136">
        <v>28.166659165230552</v>
      </c>
    </row>
    <row r="137" spans="1:8" x14ac:dyDescent="0.55000000000000004">
      <c r="A137">
        <v>134</v>
      </c>
      <c r="B137">
        <v>10.152086539087547</v>
      </c>
      <c r="C137">
        <v>4.8835712075233459</v>
      </c>
      <c r="D137">
        <v>13.480629113036953</v>
      </c>
      <c r="E137">
        <v>10.152086539087547</v>
      </c>
      <c r="F137">
        <v>4.8835712075233459</v>
      </c>
      <c r="G137">
        <v>13.480629113036953</v>
      </c>
      <c r="H137">
        <v>28.516286859647845</v>
      </c>
    </row>
    <row r="138" spans="1:8" x14ac:dyDescent="0.55000000000000004">
      <c r="A138">
        <v>135</v>
      </c>
      <c r="B138">
        <v>9.3656567742412413</v>
      </c>
      <c r="C138">
        <v>4.4711835384368896</v>
      </c>
      <c r="D138">
        <v>11.079966478975507</v>
      </c>
      <c r="E138">
        <v>9.3656567742412413</v>
      </c>
      <c r="F138">
        <v>4.4711835384368896</v>
      </c>
      <c r="G138">
        <v>11.079966478975507</v>
      </c>
      <c r="H138">
        <v>24.916806791653638</v>
      </c>
    </row>
    <row r="139" spans="1:8" x14ac:dyDescent="0.55000000000000004">
      <c r="A139">
        <v>136</v>
      </c>
      <c r="B139">
        <v>9.0562582392887609</v>
      </c>
      <c r="C139">
        <v>4.4162585139274597</v>
      </c>
      <c r="D139">
        <v>11.419046040036076</v>
      </c>
      <c r="E139">
        <v>9.0562582392887609</v>
      </c>
      <c r="F139">
        <v>4.4162585139274597</v>
      </c>
      <c r="G139">
        <v>11.419046040036076</v>
      </c>
      <c r="H139">
        <v>24.891562793252298</v>
      </c>
    </row>
    <row r="140" spans="1:8" x14ac:dyDescent="0.55000000000000004">
      <c r="A140">
        <v>137</v>
      </c>
      <c r="B140">
        <v>9.3146448460039402</v>
      </c>
      <c r="C140">
        <v>3.7003206014633179</v>
      </c>
      <c r="D140">
        <v>11.484284046799726</v>
      </c>
      <c r="E140">
        <v>9.3146448460039402</v>
      </c>
      <c r="F140">
        <v>3.7003206014633179</v>
      </c>
      <c r="G140">
        <v>11.484284046799726</v>
      </c>
      <c r="H140">
        <v>24.499249494266984</v>
      </c>
    </row>
    <row r="141" spans="1:8" x14ac:dyDescent="0.55000000000000004">
      <c r="A141">
        <v>138</v>
      </c>
      <c r="B141">
        <v>10.332774138793921</v>
      </c>
      <c r="C141">
        <v>3.8388107419013977</v>
      </c>
      <c r="D141">
        <v>12.22647073387126</v>
      </c>
      <c r="E141">
        <v>10.332774138793921</v>
      </c>
      <c r="F141">
        <v>3.8388107419013977</v>
      </c>
      <c r="G141">
        <v>12.22647073387126</v>
      </c>
      <c r="H141">
        <v>26.39805561456658</v>
      </c>
    </row>
    <row r="142" spans="1:8" x14ac:dyDescent="0.55000000000000004">
      <c r="A142">
        <v>139</v>
      </c>
      <c r="B142">
        <v>10.988620369997752</v>
      </c>
      <c r="C142">
        <v>2.4665813446044922</v>
      </c>
      <c r="D142">
        <v>12.494423588638426</v>
      </c>
      <c r="E142">
        <v>10.988620369997752</v>
      </c>
      <c r="F142">
        <v>2.4665813446044922</v>
      </c>
      <c r="G142">
        <v>12.494423588638426</v>
      </c>
      <c r="H142">
        <v>25.949625303240673</v>
      </c>
    </row>
    <row r="143" spans="1:8" x14ac:dyDescent="0.55000000000000004">
      <c r="A143">
        <v>140</v>
      </c>
      <c r="B143">
        <v>11.152976661822411</v>
      </c>
      <c r="C143">
        <v>3.5451564192771912</v>
      </c>
      <c r="D143">
        <v>12.29249114579568</v>
      </c>
      <c r="E143">
        <v>11.152976661822411</v>
      </c>
      <c r="F143">
        <v>3.5451564192771912</v>
      </c>
      <c r="G143">
        <v>12.29249114579568</v>
      </c>
      <c r="H143">
        <v>26.990624226895282</v>
      </c>
    </row>
    <row r="144" spans="1:8" x14ac:dyDescent="0.55000000000000004">
      <c r="A144">
        <v>141</v>
      </c>
      <c r="B144">
        <v>9.7305599888298477</v>
      </c>
      <c r="C144">
        <v>2.3448330163955688</v>
      </c>
      <c r="D144">
        <v>11.913846840678771</v>
      </c>
      <c r="E144">
        <v>9.7305599888298477</v>
      </c>
      <c r="F144">
        <v>2.3448330163955688</v>
      </c>
      <c r="G144">
        <v>11.913846840678771</v>
      </c>
      <c r="H144">
        <v>23.989239845904187</v>
      </c>
    </row>
    <row r="145" spans="1:8" x14ac:dyDescent="0.55000000000000004">
      <c r="A145">
        <v>142</v>
      </c>
      <c r="B145">
        <v>8.0117812338742702</v>
      </c>
      <c r="C145">
        <v>3.3185673356056213</v>
      </c>
      <c r="D145">
        <v>12.050978105053925</v>
      </c>
      <c r="E145">
        <v>8.0117812338742702</v>
      </c>
      <c r="F145">
        <v>3.3185673356056213</v>
      </c>
      <c r="G145">
        <v>12.050978105053925</v>
      </c>
      <c r="H145">
        <v>23.381326674533817</v>
      </c>
    </row>
    <row r="146" spans="1:8" x14ac:dyDescent="0.55000000000000004">
      <c r="A146">
        <v>143</v>
      </c>
      <c r="B146">
        <v>8.1089413760385085</v>
      </c>
      <c r="C146">
        <v>3.9601747989654541</v>
      </c>
      <c r="D146">
        <v>12.355928796300773</v>
      </c>
      <c r="E146">
        <v>8.1089413760385085</v>
      </c>
      <c r="F146">
        <v>3.9601747989654541</v>
      </c>
      <c r="G146">
        <v>12.355928796300773</v>
      </c>
      <c r="H146">
        <v>24.425044971304736</v>
      </c>
    </row>
    <row r="147" spans="1:8" x14ac:dyDescent="0.55000000000000004">
      <c r="A147">
        <v>144</v>
      </c>
      <c r="B147">
        <v>10.825079330979797</v>
      </c>
      <c r="C147">
        <v>4.3985530734062195</v>
      </c>
      <c r="D147">
        <v>12.66370930359651</v>
      </c>
      <c r="E147">
        <v>10.825079330979797</v>
      </c>
      <c r="F147">
        <v>4.3985530734062195</v>
      </c>
      <c r="G147">
        <v>12.66370930359651</v>
      </c>
      <c r="H147">
        <v>27.887341707982529</v>
      </c>
    </row>
    <row r="148" spans="1:8" x14ac:dyDescent="0.55000000000000004">
      <c r="A148">
        <v>145</v>
      </c>
      <c r="B148">
        <v>9.8252101927834676</v>
      </c>
      <c r="C148">
        <v>3.6817854642868042</v>
      </c>
      <c r="D148">
        <v>10.610825499588024</v>
      </c>
      <c r="E148">
        <v>9.8252101927834676</v>
      </c>
      <c r="F148">
        <v>3.6817854642868042</v>
      </c>
      <c r="G148">
        <v>10.610825499588024</v>
      </c>
      <c r="H148">
        <v>24.117821156658295</v>
      </c>
    </row>
    <row r="149" spans="1:8" x14ac:dyDescent="0.55000000000000004">
      <c r="A149">
        <v>146</v>
      </c>
      <c r="B149">
        <v>9.3347514956868363</v>
      </c>
      <c r="C149">
        <v>4.2469742894172668</v>
      </c>
      <c r="D149">
        <v>14.038747327433756</v>
      </c>
      <c r="E149">
        <v>9.3347514956868363</v>
      </c>
      <c r="F149">
        <v>4.2469742894172668</v>
      </c>
      <c r="G149">
        <v>14.038747327433756</v>
      </c>
      <c r="H149">
        <v>27.620473112537859</v>
      </c>
    </row>
    <row r="150" spans="1:8" x14ac:dyDescent="0.55000000000000004">
      <c r="A150">
        <v>147</v>
      </c>
      <c r="B150">
        <v>10.092188090446177</v>
      </c>
      <c r="C150">
        <v>4.4378647804260254</v>
      </c>
      <c r="D150">
        <v>11.101783946619474</v>
      </c>
      <c r="E150">
        <v>10.092188090446177</v>
      </c>
      <c r="F150">
        <v>4.4378647804260254</v>
      </c>
      <c r="G150">
        <v>11.101783946619474</v>
      </c>
      <c r="H150">
        <v>25.631836817491674</v>
      </c>
    </row>
    <row r="151" spans="1:8" x14ac:dyDescent="0.55000000000000004">
      <c r="A151">
        <v>148</v>
      </c>
      <c r="B151">
        <v>10.846505728586465</v>
      </c>
      <c r="C151">
        <v>3.0446247458457947</v>
      </c>
      <c r="D151">
        <v>13.828730167243348</v>
      </c>
      <c r="E151">
        <v>10.846505728586465</v>
      </c>
      <c r="F151">
        <v>3.0446247458457947</v>
      </c>
      <c r="G151">
        <v>13.828730167243348</v>
      </c>
      <c r="H151">
        <v>27.719860641675609</v>
      </c>
    </row>
    <row r="152" spans="1:8" x14ac:dyDescent="0.55000000000000004">
      <c r="A152">
        <v>149</v>
      </c>
      <c r="B152">
        <v>11.623884245422824</v>
      </c>
      <c r="C152">
        <v>3.8079186677932739</v>
      </c>
      <c r="D152">
        <v>13.324864812157337</v>
      </c>
      <c r="E152">
        <v>11.623884245422824</v>
      </c>
      <c r="F152">
        <v>3.8079186677932739</v>
      </c>
      <c r="G152">
        <v>13.324864812157337</v>
      </c>
      <c r="H152">
        <v>28.756667725373433</v>
      </c>
    </row>
    <row r="153" spans="1:8" x14ac:dyDescent="0.55000000000000004">
      <c r="A153">
        <v>150</v>
      </c>
      <c r="B153">
        <v>10.470505964149861</v>
      </c>
      <c r="C153">
        <v>2.6995320916175842</v>
      </c>
      <c r="D153">
        <v>11.438526616258313</v>
      </c>
      <c r="E153">
        <v>10.470505964149861</v>
      </c>
      <c r="F153">
        <v>2.6995320916175842</v>
      </c>
      <c r="G153">
        <v>11.438526616258313</v>
      </c>
      <c r="H153">
        <v>24.608564672025757</v>
      </c>
    </row>
    <row r="154" spans="1:8" x14ac:dyDescent="0.55000000000000004">
      <c r="A154">
        <v>151</v>
      </c>
      <c r="B154">
        <v>8.9607362600219229</v>
      </c>
      <c r="C154">
        <v>4.2986381053924561</v>
      </c>
      <c r="D154">
        <v>14.094804884462391</v>
      </c>
      <c r="E154">
        <v>8.9607362600219229</v>
      </c>
      <c r="F154">
        <v>4.2986381053924561</v>
      </c>
      <c r="G154">
        <v>14.094804884462391</v>
      </c>
      <c r="H154">
        <v>27.354179249876772</v>
      </c>
    </row>
    <row r="155" spans="1:8" x14ac:dyDescent="0.55000000000000004">
      <c r="A155">
        <v>152</v>
      </c>
      <c r="B155">
        <v>9.7885494866264082</v>
      </c>
      <c r="C155">
        <v>3.8982273936271667</v>
      </c>
      <c r="D155">
        <v>12.001324648051007</v>
      </c>
      <c r="E155">
        <v>9.7885494866264082</v>
      </c>
      <c r="F155">
        <v>3.8982273936271667</v>
      </c>
      <c r="G155">
        <v>12.001324648051007</v>
      </c>
      <c r="H155">
        <v>25.688101528304582</v>
      </c>
    </row>
    <row r="156" spans="1:8" x14ac:dyDescent="0.55000000000000004">
      <c r="A156">
        <v>153</v>
      </c>
      <c r="B156">
        <v>11.261515552037517</v>
      </c>
      <c r="C156">
        <v>4.459621787071228</v>
      </c>
      <c r="D156">
        <v>11.768335169750175</v>
      </c>
      <c r="E156">
        <v>11.261515552037517</v>
      </c>
      <c r="F156">
        <v>4.459621787071228</v>
      </c>
      <c r="G156">
        <v>11.768335169750175</v>
      </c>
      <c r="H156">
        <v>27.48947250885892</v>
      </c>
    </row>
    <row r="157" spans="1:8" x14ac:dyDescent="0.55000000000000004">
      <c r="A157">
        <v>154</v>
      </c>
      <c r="B157">
        <v>11.555389815754914</v>
      </c>
      <c r="C157">
        <v>4.4812334179878235</v>
      </c>
      <c r="D157">
        <v>11.760665951145253</v>
      </c>
      <c r="E157">
        <v>11.555389815754914</v>
      </c>
      <c r="F157">
        <v>4.4812334179878235</v>
      </c>
      <c r="G157">
        <v>11.760665951145253</v>
      </c>
      <c r="H157">
        <v>27.79728918488799</v>
      </c>
    </row>
    <row r="158" spans="1:8" x14ac:dyDescent="0.55000000000000004">
      <c r="A158">
        <v>155</v>
      </c>
      <c r="B158">
        <v>9.6199564563275821</v>
      </c>
      <c r="C158">
        <v>2.2451925277709961</v>
      </c>
      <c r="D158">
        <v>13.25007082878124</v>
      </c>
      <c r="E158">
        <v>9.6199564563275821</v>
      </c>
      <c r="F158">
        <v>2.2451925277709961</v>
      </c>
      <c r="G158">
        <v>13.25007082878124</v>
      </c>
      <c r="H158">
        <v>25.115219812879818</v>
      </c>
    </row>
    <row r="159" spans="1:8" x14ac:dyDescent="0.55000000000000004">
      <c r="A159">
        <v>156</v>
      </c>
      <c r="B159">
        <v>9.649244023725382</v>
      </c>
      <c r="C159">
        <v>3.1740216612815857</v>
      </c>
      <c r="D159">
        <v>10.975568952593951</v>
      </c>
      <c r="E159">
        <v>9.649244023725382</v>
      </c>
      <c r="F159">
        <v>3.1740216612815857</v>
      </c>
      <c r="G159">
        <v>10.975568952593951</v>
      </c>
      <c r="H159">
        <v>23.798834637600919</v>
      </c>
    </row>
    <row r="160" spans="1:8" x14ac:dyDescent="0.55000000000000004">
      <c r="A160">
        <v>157</v>
      </c>
      <c r="B160">
        <v>10.924457187274541</v>
      </c>
      <c r="C160">
        <v>3.7785574197769165</v>
      </c>
      <c r="D160">
        <v>12.418172373988131</v>
      </c>
      <c r="E160">
        <v>10.924457187274541</v>
      </c>
      <c r="F160">
        <v>3.7785574197769165</v>
      </c>
      <c r="G160">
        <v>12.418172373988131</v>
      </c>
      <c r="H160">
        <v>27.121186981039589</v>
      </c>
    </row>
    <row r="161" spans="1:8" x14ac:dyDescent="0.55000000000000004">
      <c r="A161">
        <v>158</v>
      </c>
      <c r="B161">
        <v>10.266431098922379</v>
      </c>
      <c r="C161">
        <v>4.4546881318092346</v>
      </c>
      <c r="D161">
        <v>12.394898493395949</v>
      </c>
      <c r="E161">
        <v>10.266431098922379</v>
      </c>
      <c r="F161">
        <v>4.4546881318092346</v>
      </c>
      <c r="G161">
        <v>12.394898493395949</v>
      </c>
      <c r="H161">
        <v>27.116017724127563</v>
      </c>
    </row>
    <row r="162" spans="1:8" x14ac:dyDescent="0.55000000000000004">
      <c r="A162">
        <v>159</v>
      </c>
      <c r="B162">
        <v>9.1036708856900628</v>
      </c>
      <c r="C162">
        <v>4.4245617389678955</v>
      </c>
      <c r="D162">
        <v>12.662204868670294</v>
      </c>
      <c r="E162">
        <v>9.1036708856900628</v>
      </c>
      <c r="F162">
        <v>4.4245617389678955</v>
      </c>
      <c r="G162">
        <v>12.662204868670294</v>
      </c>
      <c r="H162">
        <v>26.190437493328254</v>
      </c>
    </row>
    <row r="163" spans="1:8" x14ac:dyDescent="0.55000000000000004">
      <c r="A163">
        <v>160</v>
      </c>
      <c r="B163">
        <v>9.6445542857905728</v>
      </c>
      <c r="C163">
        <v>3.0895978808403015</v>
      </c>
      <c r="D163">
        <v>11.756627679581602</v>
      </c>
      <c r="E163">
        <v>9.6445542857905728</v>
      </c>
      <c r="F163">
        <v>3.0895978808403015</v>
      </c>
      <c r="G163">
        <v>11.756627679581602</v>
      </c>
      <c r="H163">
        <v>24.490779846212476</v>
      </c>
    </row>
    <row r="164" spans="1:8" x14ac:dyDescent="0.55000000000000004">
      <c r="A164">
        <v>161</v>
      </c>
      <c r="B164">
        <v>9.6161665568926633</v>
      </c>
      <c r="C164">
        <v>2.8272866010665894</v>
      </c>
      <c r="D164">
        <v>12.458631007892425</v>
      </c>
      <c r="E164">
        <v>9.6161665568926633</v>
      </c>
      <c r="F164">
        <v>2.8272866010665894</v>
      </c>
      <c r="G164">
        <v>12.458631007892425</v>
      </c>
      <c r="H164">
        <v>24.902084165851676</v>
      </c>
    </row>
    <row r="165" spans="1:8" x14ac:dyDescent="0.55000000000000004">
      <c r="A165">
        <v>162</v>
      </c>
      <c r="B165">
        <v>8.8000028508001424</v>
      </c>
      <c r="C165">
        <v>2.6182482838630676</v>
      </c>
      <c r="D165">
        <v>14.485094746166428</v>
      </c>
      <c r="E165">
        <v>8.8000028508001424</v>
      </c>
      <c r="F165">
        <v>2.6182482838630676</v>
      </c>
      <c r="G165">
        <v>14.485094746166428</v>
      </c>
      <c r="H165">
        <v>25.90334588082964</v>
      </c>
    </row>
    <row r="166" spans="1:8" x14ac:dyDescent="0.55000000000000004">
      <c r="A166">
        <v>163</v>
      </c>
      <c r="B166">
        <v>9.6257046616091984</v>
      </c>
      <c r="C166">
        <v>4.3187403678894043</v>
      </c>
      <c r="D166">
        <v>13.425948594423806</v>
      </c>
      <c r="E166">
        <v>9.6257046616091984</v>
      </c>
      <c r="F166">
        <v>4.3187403678894043</v>
      </c>
      <c r="G166">
        <v>13.425948594423806</v>
      </c>
      <c r="H166">
        <v>27.370393623922411</v>
      </c>
    </row>
    <row r="167" spans="1:8" x14ac:dyDescent="0.55000000000000004">
      <c r="A167">
        <v>164</v>
      </c>
      <c r="B167">
        <v>9.0648258218194186</v>
      </c>
      <c r="C167">
        <v>2.8186010718345642</v>
      </c>
      <c r="D167">
        <v>11.901881794386156</v>
      </c>
      <c r="E167">
        <v>9.0648258218194186</v>
      </c>
      <c r="F167">
        <v>2.8186010718345642</v>
      </c>
      <c r="G167">
        <v>11.901881794386156</v>
      </c>
      <c r="H167">
        <v>23.785308688040139</v>
      </c>
    </row>
    <row r="168" spans="1:8" x14ac:dyDescent="0.55000000000000004">
      <c r="A168">
        <v>165</v>
      </c>
      <c r="B168">
        <v>11.400908581842627</v>
      </c>
      <c r="C168">
        <v>3.8548938035964966</v>
      </c>
      <c r="D168">
        <v>11.581428130297834</v>
      </c>
      <c r="E168">
        <v>11.400908581842627</v>
      </c>
      <c r="F168">
        <v>3.8548938035964966</v>
      </c>
      <c r="G168">
        <v>11.581428130297834</v>
      </c>
      <c r="H168">
        <v>26.837230515736955</v>
      </c>
    </row>
    <row r="169" spans="1:8" x14ac:dyDescent="0.55000000000000004">
      <c r="A169">
        <v>166</v>
      </c>
      <c r="B169">
        <v>11.602031062352474</v>
      </c>
      <c r="C169">
        <v>2.9341331124305725</v>
      </c>
      <c r="D169">
        <v>11.537963474787446</v>
      </c>
      <c r="E169">
        <v>11.602031062352474</v>
      </c>
      <c r="F169">
        <v>2.9341331124305725</v>
      </c>
      <c r="G169">
        <v>11.537963474787446</v>
      </c>
      <c r="H169">
        <v>26.074127649570492</v>
      </c>
    </row>
    <row r="170" spans="1:8" x14ac:dyDescent="0.55000000000000004">
      <c r="A170">
        <v>167</v>
      </c>
      <c r="B170">
        <v>10.22506940393402</v>
      </c>
      <c r="C170">
        <v>2.3853089809417725</v>
      </c>
      <c r="D170">
        <v>12.725260094954002</v>
      </c>
      <c r="E170">
        <v>10.22506940393402</v>
      </c>
      <c r="F170">
        <v>2.3853089809417725</v>
      </c>
      <c r="G170">
        <v>12.725260094954002</v>
      </c>
      <c r="H170">
        <v>25.335638479829797</v>
      </c>
    </row>
    <row r="171" spans="1:8" x14ac:dyDescent="0.55000000000000004">
      <c r="A171">
        <v>168</v>
      </c>
      <c r="B171">
        <v>11.332946148622849</v>
      </c>
      <c r="C171">
        <v>2.1938559412956238</v>
      </c>
      <c r="D171">
        <v>12.267801006209984</v>
      </c>
      <c r="E171">
        <v>11.332946148622849</v>
      </c>
      <c r="F171">
        <v>2.1938559412956238</v>
      </c>
      <c r="G171">
        <v>12.267801006209984</v>
      </c>
      <c r="H171">
        <v>25.794603096128455</v>
      </c>
    </row>
    <row r="172" spans="1:8" x14ac:dyDescent="0.55000000000000004">
      <c r="A172">
        <v>169</v>
      </c>
      <c r="B172">
        <v>10.722895503516089</v>
      </c>
      <c r="C172">
        <v>3.3126119375228882</v>
      </c>
      <c r="D172">
        <v>12.183275693104424</v>
      </c>
      <c r="E172">
        <v>10.722895503516089</v>
      </c>
      <c r="F172">
        <v>3.3126119375228882</v>
      </c>
      <c r="G172">
        <v>12.183275693104424</v>
      </c>
      <c r="H172">
        <v>26.218783134143401</v>
      </c>
    </row>
    <row r="173" spans="1:8" x14ac:dyDescent="0.55000000000000004">
      <c r="A173">
        <v>170</v>
      </c>
      <c r="B173">
        <v>8.1103319240716338</v>
      </c>
      <c r="C173">
        <v>3.9065540432929993</v>
      </c>
      <c r="D173">
        <v>12.370038361992334</v>
      </c>
      <c r="E173">
        <v>8.1103319240716338</v>
      </c>
      <c r="F173">
        <v>3.9065540432929993</v>
      </c>
      <c r="G173">
        <v>12.370038361992334</v>
      </c>
      <c r="H173">
        <v>24.386924329356965</v>
      </c>
    </row>
    <row r="174" spans="1:8" x14ac:dyDescent="0.55000000000000004">
      <c r="A174">
        <v>171</v>
      </c>
      <c r="B174">
        <v>9.3367404826402645</v>
      </c>
      <c r="C174">
        <v>2.44805908203125</v>
      </c>
      <c r="D174">
        <v>14.508895794612316</v>
      </c>
      <c r="E174">
        <v>9.3367404826402645</v>
      </c>
      <c r="F174">
        <v>2.44805908203125</v>
      </c>
      <c r="G174">
        <v>14.508895794612316</v>
      </c>
      <c r="H174">
        <v>26.293695359283831</v>
      </c>
    </row>
    <row r="175" spans="1:8" x14ac:dyDescent="0.55000000000000004">
      <c r="A175">
        <v>172</v>
      </c>
      <c r="B175">
        <v>10.138624170031489</v>
      </c>
      <c r="C175">
        <v>3.1604918837547302</v>
      </c>
      <c r="D175">
        <v>10.876470284192726</v>
      </c>
      <c r="E175">
        <v>10.138624170031489</v>
      </c>
      <c r="F175">
        <v>3.1604918837547302</v>
      </c>
      <c r="G175">
        <v>10.876470284192726</v>
      </c>
      <c r="H175">
        <v>24.175586337978945</v>
      </c>
    </row>
    <row r="176" spans="1:8" x14ac:dyDescent="0.55000000000000004">
      <c r="A176">
        <v>173</v>
      </c>
      <c r="B176">
        <v>8.9901792596856396</v>
      </c>
      <c r="C176">
        <v>3.6194473505020142</v>
      </c>
      <c r="D176">
        <v>12.108865576603783</v>
      </c>
      <c r="E176">
        <v>8.9901792596856396</v>
      </c>
      <c r="F176">
        <v>3.6194473505020142</v>
      </c>
      <c r="G176">
        <v>12.108865576603783</v>
      </c>
      <c r="H176">
        <v>24.718492186791437</v>
      </c>
    </row>
    <row r="177" spans="1:8" x14ac:dyDescent="0.55000000000000004">
      <c r="A177">
        <v>174</v>
      </c>
      <c r="B177">
        <v>9.8240542238793189</v>
      </c>
      <c r="C177">
        <v>4.9098396897315979</v>
      </c>
      <c r="D177">
        <v>10.462652603954416</v>
      </c>
      <c r="E177">
        <v>9.8240542238793189</v>
      </c>
      <c r="F177">
        <v>4.9098396897315979</v>
      </c>
      <c r="G177">
        <v>10.462652603954416</v>
      </c>
      <c r="H177">
        <v>25.196546517565331</v>
      </c>
    </row>
    <row r="178" spans="1:8" x14ac:dyDescent="0.55000000000000004">
      <c r="A178">
        <v>175</v>
      </c>
      <c r="B178">
        <v>9.1746953310377286</v>
      </c>
      <c r="C178">
        <v>2.8376181125640869</v>
      </c>
      <c r="D178">
        <v>11.787348996966823</v>
      </c>
      <c r="E178">
        <v>9.1746953310377286</v>
      </c>
      <c r="F178">
        <v>2.8376181125640869</v>
      </c>
      <c r="G178">
        <v>11.787348996966823</v>
      </c>
      <c r="H178">
        <v>23.799662440568639</v>
      </c>
    </row>
    <row r="179" spans="1:8" x14ac:dyDescent="0.55000000000000004">
      <c r="A179">
        <v>176</v>
      </c>
      <c r="B179">
        <v>10.809873960650528</v>
      </c>
      <c r="C179">
        <v>2.9790679812431335</v>
      </c>
      <c r="D179">
        <v>14.151826163948083</v>
      </c>
      <c r="E179">
        <v>10.809873960650528</v>
      </c>
      <c r="F179">
        <v>2.9790679812431335</v>
      </c>
      <c r="G179">
        <v>14.151826163948083</v>
      </c>
      <c r="H179">
        <v>27.940768105841745</v>
      </c>
    </row>
    <row r="180" spans="1:8" x14ac:dyDescent="0.55000000000000004">
      <c r="A180">
        <v>177</v>
      </c>
      <c r="B180">
        <v>11.164861205380785</v>
      </c>
      <c r="C180">
        <v>4.6778048276901245</v>
      </c>
      <c r="D180">
        <v>11.793946076685245</v>
      </c>
      <c r="E180">
        <v>11.164861205380785</v>
      </c>
      <c r="F180">
        <v>4.6778048276901245</v>
      </c>
      <c r="G180">
        <v>11.793946076685245</v>
      </c>
      <c r="H180">
        <v>27.636612109756154</v>
      </c>
    </row>
    <row r="181" spans="1:8" x14ac:dyDescent="0.55000000000000004">
      <c r="A181">
        <v>178</v>
      </c>
      <c r="B181">
        <v>9.3648217781824155</v>
      </c>
      <c r="C181">
        <v>4.2665608525276184</v>
      </c>
      <c r="D181">
        <v>11.631874362531967</v>
      </c>
      <c r="E181">
        <v>9.3648217781824155</v>
      </c>
      <c r="F181">
        <v>4.2665608525276184</v>
      </c>
      <c r="G181">
        <v>11.631874362531967</v>
      </c>
      <c r="H181">
        <v>25.263256993242003</v>
      </c>
    </row>
    <row r="182" spans="1:8" x14ac:dyDescent="0.55000000000000004">
      <c r="A182">
        <v>179</v>
      </c>
      <c r="B182">
        <v>11.29014824342393</v>
      </c>
      <c r="C182">
        <v>3.2820744514465332</v>
      </c>
      <c r="D182">
        <v>10.209074767341562</v>
      </c>
      <c r="E182">
        <v>11.29014824342393</v>
      </c>
      <c r="F182">
        <v>3.2820744514465332</v>
      </c>
      <c r="G182">
        <v>10.209074767341562</v>
      </c>
      <c r="H182">
        <v>24.781297462212024</v>
      </c>
    </row>
    <row r="183" spans="1:8" x14ac:dyDescent="0.55000000000000004">
      <c r="A183">
        <v>180</v>
      </c>
      <c r="B183">
        <v>8.0351064172930737</v>
      </c>
      <c r="C183">
        <v>3.1786980032920837</v>
      </c>
      <c r="D183">
        <v>11.368446424428583</v>
      </c>
      <c r="E183">
        <v>8.0351064172930737</v>
      </c>
      <c r="F183">
        <v>3.1786980032920837</v>
      </c>
      <c r="G183">
        <v>11.368446424428583</v>
      </c>
      <c r="H183">
        <v>22.582250845013739</v>
      </c>
    </row>
    <row r="184" spans="1:8" x14ac:dyDescent="0.55000000000000004">
      <c r="A184">
        <v>181</v>
      </c>
      <c r="B184">
        <v>11.827866342678686</v>
      </c>
      <c r="C184">
        <v>2.1391125917434692</v>
      </c>
      <c r="D184">
        <v>10.840337209114821</v>
      </c>
      <c r="E184">
        <v>11.827866342678686</v>
      </c>
      <c r="F184">
        <v>2.1391125917434692</v>
      </c>
      <c r="G184">
        <v>10.840337209114821</v>
      </c>
      <c r="H184">
        <v>24.807316143536976</v>
      </c>
    </row>
    <row r="185" spans="1:8" x14ac:dyDescent="0.55000000000000004">
      <c r="A185">
        <v>182</v>
      </c>
      <c r="B185">
        <v>11.105029790530837</v>
      </c>
      <c r="C185">
        <v>4.0756555199623108</v>
      </c>
      <c r="D185">
        <v>11.014206115239626</v>
      </c>
      <c r="E185">
        <v>11.105029790530837</v>
      </c>
      <c r="F185">
        <v>4.0756555199623108</v>
      </c>
      <c r="G185">
        <v>11.014206115239626</v>
      </c>
      <c r="H185">
        <v>26.194891425732774</v>
      </c>
    </row>
    <row r="186" spans="1:8" x14ac:dyDescent="0.55000000000000004">
      <c r="A186">
        <v>183</v>
      </c>
      <c r="B186">
        <v>10.724469124591176</v>
      </c>
      <c r="C186">
        <v>3.5476024150848389</v>
      </c>
      <c r="D186">
        <v>12.916003197775858</v>
      </c>
      <c r="E186">
        <v>10.724469124591176</v>
      </c>
      <c r="F186">
        <v>3.5476024150848389</v>
      </c>
      <c r="G186">
        <v>12.916003197775858</v>
      </c>
      <c r="H186">
        <v>27.188074737451871</v>
      </c>
    </row>
    <row r="187" spans="1:8" x14ac:dyDescent="0.55000000000000004">
      <c r="A187">
        <v>184</v>
      </c>
      <c r="B187">
        <v>10.504348454897675</v>
      </c>
      <c r="C187">
        <v>4.2601754069328308</v>
      </c>
      <c r="D187">
        <v>14.187747773022943</v>
      </c>
      <c r="E187">
        <v>10.504348454897675</v>
      </c>
      <c r="F187">
        <v>4.2601754069328308</v>
      </c>
      <c r="G187">
        <v>14.187747773022943</v>
      </c>
      <c r="H187">
        <v>28.952271634853449</v>
      </c>
    </row>
    <row r="188" spans="1:8" x14ac:dyDescent="0.55000000000000004">
      <c r="A188">
        <v>185</v>
      </c>
      <c r="B188">
        <v>10.502870330899462</v>
      </c>
      <c r="C188">
        <v>4.4194473028182983</v>
      </c>
      <c r="D188">
        <v>12.45004034495013</v>
      </c>
      <c r="E188">
        <v>10.502870330899462</v>
      </c>
      <c r="F188">
        <v>4.4194473028182983</v>
      </c>
      <c r="G188">
        <v>12.45004034495013</v>
      </c>
      <c r="H188">
        <v>27.372357978667893</v>
      </c>
    </row>
    <row r="189" spans="1:8" x14ac:dyDescent="0.55000000000000004">
      <c r="A189">
        <v>186</v>
      </c>
      <c r="B189">
        <v>9.2363898389217471</v>
      </c>
      <c r="C189">
        <v>3.790553867816925</v>
      </c>
      <c r="D189">
        <v>12.722879306207396</v>
      </c>
      <c r="E189">
        <v>9.2363898389217471</v>
      </c>
      <c r="F189">
        <v>3.790553867816925</v>
      </c>
      <c r="G189">
        <v>12.722879306207396</v>
      </c>
      <c r="H189">
        <v>25.749823012946067</v>
      </c>
    </row>
    <row r="190" spans="1:8" x14ac:dyDescent="0.55000000000000004">
      <c r="A190">
        <v>187</v>
      </c>
      <c r="B190">
        <v>10.804847622465816</v>
      </c>
      <c r="C190">
        <v>2.8290872573852539</v>
      </c>
      <c r="D190">
        <v>11.315408526663154</v>
      </c>
      <c r="E190">
        <v>10.804847622465816</v>
      </c>
      <c r="F190">
        <v>2.8290872573852539</v>
      </c>
      <c r="G190">
        <v>11.315408526663154</v>
      </c>
      <c r="H190">
        <v>24.949343406514224</v>
      </c>
    </row>
    <row r="191" spans="1:8" x14ac:dyDescent="0.55000000000000004">
      <c r="A191">
        <v>188</v>
      </c>
      <c r="B191">
        <v>10.869564996648883</v>
      </c>
      <c r="C191">
        <v>4.1490983366966248</v>
      </c>
      <c r="D191">
        <v>12.943126463425495</v>
      </c>
      <c r="E191">
        <v>10.869564996648883</v>
      </c>
      <c r="F191">
        <v>4.1490983366966248</v>
      </c>
      <c r="G191">
        <v>12.943126463425495</v>
      </c>
      <c r="H191">
        <v>27.961789796771001</v>
      </c>
    </row>
    <row r="192" spans="1:8" x14ac:dyDescent="0.55000000000000004">
      <c r="A192">
        <v>189</v>
      </c>
      <c r="B192">
        <v>10.834085403823758</v>
      </c>
      <c r="C192">
        <v>2.4651590585708618</v>
      </c>
      <c r="D192">
        <v>14.238191463186896</v>
      </c>
      <c r="E192">
        <v>10.834085403823758</v>
      </c>
      <c r="F192">
        <v>2.4651590585708618</v>
      </c>
      <c r="G192">
        <v>14.238191463186896</v>
      </c>
      <c r="H192">
        <v>27.537435925581516</v>
      </c>
    </row>
    <row r="193" spans="1:8" x14ac:dyDescent="0.55000000000000004">
      <c r="A193">
        <v>190</v>
      </c>
      <c r="B193">
        <v>10.346397874641108</v>
      </c>
      <c r="C193">
        <v>3.5473032593727112</v>
      </c>
      <c r="D193">
        <v>12.659204437806848</v>
      </c>
      <c r="E193">
        <v>10.346397874641108</v>
      </c>
      <c r="F193">
        <v>3.5473032593727112</v>
      </c>
      <c r="G193">
        <v>12.659204437806848</v>
      </c>
      <c r="H193">
        <v>26.552905571820666</v>
      </c>
    </row>
    <row r="194" spans="1:8" x14ac:dyDescent="0.55000000000000004">
      <c r="A194">
        <v>191</v>
      </c>
      <c r="B194">
        <v>9.737802138998628</v>
      </c>
      <c r="C194">
        <v>2.8907501697540283</v>
      </c>
      <c r="D194">
        <v>11.32367566880702</v>
      </c>
      <c r="E194">
        <v>9.737802138998628</v>
      </c>
      <c r="F194">
        <v>2.8907501697540283</v>
      </c>
      <c r="G194">
        <v>11.32367566880702</v>
      </c>
      <c r="H194">
        <v>23.952227977559676</v>
      </c>
    </row>
    <row r="195" spans="1:8" x14ac:dyDescent="0.55000000000000004">
      <c r="A195">
        <v>192</v>
      </c>
      <c r="B195">
        <v>10.683653440059016</v>
      </c>
      <c r="C195">
        <v>3.3989946246147156</v>
      </c>
      <c r="D195">
        <v>12.678577341883718</v>
      </c>
      <c r="E195">
        <v>10.683653440059016</v>
      </c>
      <c r="F195">
        <v>3.3989946246147156</v>
      </c>
      <c r="G195">
        <v>12.678577341883718</v>
      </c>
      <c r="H195">
        <v>26.76122540655745</v>
      </c>
    </row>
    <row r="196" spans="1:8" x14ac:dyDescent="0.55000000000000004">
      <c r="A196">
        <v>193</v>
      </c>
      <c r="B196">
        <v>12.008417573178233</v>
      </c>
      <c r="C196">
        <v>3.2684963941574097</v>
      </c>
      <c r="D196">
        <v>11.704665825668433</v>
      </c>
      <c r="E196">
        <v>12.008417573178233</v>
      </c>
      <c r="F196">
        <v>3.2684963941574097</v>
      </c>
      <c r="G196">
        <v>11.704665825668433</v>
      </c>
      <c r="H196">
        <v>26.981579793004077</v>
      </c>
    </row>
    <row r="197" spans="1:8" x14ac:dyDescent="0.55000000000000004">
      <c r="A197">
        <v>194</v>
      </c>
      <c r="B197">
        <v>10.371646953196676</v>
      </c>
      <c r="C197">
        <v>2.2426932454109192</v>
      </c>
      <c r="D197">
        <v>13.749787825471811</v>
      </c>
      <c r="E197">
        <v>10.371646953196676</v>
      </c>
      <c r="F197">
        <v>2.2426932454109192</v>
      </c>
      <c r="G197">
        <v>13.749787825471811</v>
      </c>
      <c r="H197">
        <v>26.364128024079406</v>
      </c>
    </row>
    <row r="198" spans="1:8" x14ac:dyDescent="0.55000000000000004">
      <c r="A198">
        <v>195</v>
      </c>
      <c r="B198">
        <v>10.125771911521324</v>
      </c>
      <c r="C198">
        <v>2.9567732810974121</v>
      </c>
      <c r="D198">
        <v>13.193253391384649</v>
      </c>
      <c r="E198">
        <v>10.125771911521324</v>
      </c>
      <c r="F198">
        <v>2.9567732810974121</v>
      </c>
      <c r="G198">
        <v>13.193253391384649</v>
      </c>
      <c r="H198">
        <v>26.275798584003386</v>
      </c>
    </row>
    <row r="199" spans="1:8" x14ac:dyDescent="0.55000000000000004">
      <c r="A199">
        <v>196</v>
      </c>
      <c r="B199">
        <v>9.5640194712273932</v>
      </c>
      <c r="C199">
        <v>2.1444467902183533</v>
      </c>
      <c r="D199">
        <v>11.648963085110683</v>
      </c>
      <c r="E199">
        <v>9.5640194712273932</v>
      </c>
      <c r="F199">
        <v>2.1444467902183533</v>
      </c>
      <c r="G199">
        <v>11.648963085110683</v>
      </c>
      <c r="H199">
        <v>23.35742934655643</v>
      </c>
    </row>
    <row r="200" spans="1:8" x14ac:dyDescent="0.55000000000000004">
      <c r="A200">
        <v>197</v>
      </c>
      <c r="B200">
        <v>10.294078892532333</v>
      </c>
      <c r="C200">
        <v>4.1332312822341919</v>
      </c>
      <c r="D200">
        <v>11.825095609224617</v>
      </c>
      <c r="E200">
        <v>10.294078892532333</v>
      </c>
      <c r="F200">
        <v>4.1332312822341919</v>
      </c>
      <c r="G200">
        <v>11.825095609224617</v>
      </c>
      <c r="H200">
        <v>26.252405783991144</v>
      </c>
    </row>
    <row r="201" spans="1:8" x14ac:dyDescent="0.55000000000000004">
      <c r="A201">
        <v>198</v>
      </c>
      <c r="B201">
        <v>9.1680729203759057</v>
      </c>
      <c r="C201">
        <v>2.3623805642127991</v>
      </c>
      <c r="D201">
        <v>11.49629325632081</v>
      </c>
      <c r="E201">
        <v>9.1680729203759057</v>
      </c>
      <c r="F201">
        <v>2.3623805642127991</v>
      </c>
      <c r="G201">
        <v>11.49629325632081</v>
      </c>
      <c r="H201">
        <v>23.026746740909516</v>
      </c>
    </row>
    <row r="202" spans="1:8" x14ac:dyDescent="0.55000000000000004">
      <c r="A202">
        <v>199</v>
      </c>
      <c r="B202">
        <v>8.7874766599914533</v>
      </c>
      <c r="C202">
        <v>4.3519246578216553</v>
      </c>
      <c r="D202">
        <v>13.386765653908746</v>
      </c>
      <c r="E202">
        <v>8.7874766599914533</v>
      </c>
      <c r="F202">
        <v>4.3519246578216553</v>
      </c>
      <c r="G202">
        <v>13.386765653908746</v>
      </c>
      <c r="H202">
        <v>26.526166971721857</v>
      </c>
    </row>
    <row r="203" spans="1:8" x14ac:dyDescent="0.55000000000000004">
      <c r="A203">
        <v>200</v>
      </c>
      <c r="B203">
        <v>8.4620959417257726</v>
      </c>
      <c r="C203">
        <v>3.8042170405387878</v>
      </c>
      <c r="D203">
        <v>12.156006393805983</v>
      </c>
      <c r="E203">
        <v>8.4620959417257726</v>
      </c>
      <c r="F203">
        <v>3.8042170405387878</v>
      </c>
      <c r="G203">
        <v>12.156006393805983</v>
      </c>
      <c r="H203">
        <v>24.422319376070543</v>
      </c>
    </row>
    <row r="204" spans="1:8" x14ac:dyDescent="0.55000000000000004">
      <c r="A204">
        <v>201</v>
      </c>
      <c r="B204">
        <v>10.733309426226651</v>
      </c>
      <c r="C204">
        <v>3.6902841329574585</v>
      </c>
      <c r="D204">
        <v>12.951060004511117</v>
      </c>
      <c r="E204">
        <v>10.733309426226651</v>
      </c>
      <c r="F204">
        <v>3.6902841329574585</v>
      </c>
      <c r="G204">
        <v>12.951060004511117</v>
      </c>
      <c r="H204">
        <v>27.374653563695226</v>
      </c>
    </row>
    <row r="205" spans="1:8" x14ac:dyDescent="0.55000000000000004">
      <c r="A205">
        <v>202</v>
      </c>
      <c r="B205">
        <v>8.6819171644382696</v>
      </c>
      <c r="C205">
        <v>3.5590141415596008</v>
      </c>
      <c r="D205">
        <v>11.96658872622344</v>
      </c>
      <c r="E205">
        <v>8.6819171644382696</v>
      </c>
      <c r="F205">
        <v>3.5590141415596008</v>
      </c>
      <c r="G205">
        <v>11.96658872622344</v>
      </c>
      <c r="H205">
        <v>24.207520032221311</v>
      </c>
    </row>
    <row r="206" spans="1:8" x14ac:dyDescent="0.55000000000000004">
      <c r="A206">
        <v>203</v>
      </c>
      <c r="B206">
        <v>9.8893383594378399</v>
      </c>
      <c r="C206">
        <v>3.8921833038330078</v>
      </c>
      <c r="D206">
        <v>12.677889393557576</v>
      </c>
      <c r="E206">
        <v>9.8893383594378399</v>
      </c>
      <c r="F206">
        <v>3.8921833038330078</v>
      </c>
      <c r="G206">
        <v>12.677889393557576</v>
      </c>
      <c r="H206">
        <v>26.459411056828422</v>
      </c>
    </row>
    <row r="207" spans="1:8" x14ac:dyDescent="0.55000000000000004">
      <c r="A207">
        <v>204</v>
      </c>
      <c r="B207">
        <v>10.601263996674836</v>
      </c>
      <c r="C207">
        <v>4.5343722701072693</v>
      </c>
      <c r="D207">
        <v>12.345625585884392</v>
      </c>
      <c r="E207">
        <v>10.601263996674836</v>
      </c>
      <c r="F207">
        <v>4.5343722701072693</v>
      </c>
      <c r="G207">
        <v>12.345625585884392</v>
      </c>
      <c r="H207">
        <v>27.481261852666499</v>
      </c>
    </row>
    <row r="208" spans="1:8" x14ac:dyDescent="0.55000000000000004">
      <c r="A208">
        <v>205</v>
      </c>
      <c r="B208">
        <v>9.745354669801964</v>
      </c>
      <c r="C208">
        <v>4.6633487939834595</v>
      </c>
      <c r="D208">
        <v>11.717166344440297</v>
      </c>
      <c r="E208">
        <v>9.745354669801964</v>
      </c>
      <c r="F208">
        <v>4.6633487939834595</v>
      </c>
      <c r="G208">
        <v>11.717166344440297</v>
      </c>
      <c r="H208">
        <v>26.125869808225723</v>
      </c>
    </row>
    <row r="209" spans="1:8" x14ac:dyDescent="0.55000000000000004">
      <c r="A209">
        <v>206</v>
      </c>
      <c r="B209">
        <v>10.273315749309102</v>
      </c>
      <c r="C209">
        <v>2.9803600907325745</v>
      </c>
      <c r="D209">
        <v>12.077123395451622</v>
      </c>
      <c r="E209">
        <v>10.273315749309102</v>
      </c>
      <c r="F209">
        <v>2.9803600907325745</v>
      </c>
      <c r="G209">
        <v>12.077123395451622</v>
      </c>
      <c r="H209">
        <v>25.330799235493298</v>
      </c>
    </row>
    <row r="210" spans="1:8" x14ac:dyDescent="0.55000000000000004">
      <c r="A210">
        <v>207</v>
      </c>
      <c r="B210">
        <v>9.531147815045184</v>
      </c>
      <c r="C210">
        <v>3.0253641605377197</v>
      </c>
      <c r="D210">
        <v>10.653770576722147</v>
      </c>
      <c r="E210">
        <v>9.531147815045184</v>
      </c>
      <c r="F210">
        <v>3.0253641605377197</v>
      </c>
      <c r="G210">
        <v>10.653770576722147</v>
      </c>
      <c r="H210">
        <v>23.210282552305053</v>
      </c>
    </row>
    <row r="211" spans="1:8" x14ac:dyDescent="0.55000000000000004">
      <c r="A211">
        <v>208</v>
      </c>
      <c r="B211">
        <v>9.0251788249339011</v>
      </c>
      <c r="C211">
        <v>4.4314090609550476</v>
      </c>
      <c r="D211">
        <v>12.874695210716931</v>
      </c>
      <c r="E211">
        <v>9.0251788249339011</v>
      </c>
      <c r="F211">
        <v>4.4314090609550476</v>
      </c>
      <c r="G211">
        <v>12.874695210716931</v>
      </c>
      <c r="H211">
        <v>26.33128309660588</v>
      </c>
    </row>
    <row r="212" spans="1:8" x14ac:dyDescent="0.55000000000000004">
      <c r="A212">
        <v>209</v>
      </c>
      <c r="B212">
        <v>11.101263769637015</v>
      </c>
      <c r="C212">
        <v>2.3845175504684448</v>
      </c>
      <c r="D212">
        <v>12.95726742477575</v>
      </c>
      <c r="E212">
        <v>11.101263769637015</v>
      </c>
      <c r="F212">
        <v>2.3845175504684448</v>
      </c>
      <c r="G212">
        <v>12.95726742477575</v>
      </c>
      <c r="H212">
        <v>26.44304874488121</v>
      </c>
    </row>
    <row r="213" spans="1:8" x14ac:dyDescent="0.55000000000000004">
      <c r="A213">
        <v>210</v>
      </c>
      <c r="B213">
        <v>9.9023046591421835</v>
      </c>
      <c r="C213">
        <v>2.34742671251297</v>
      </c>
      <c r="D213">
        <v>11.504271623889355</v>
      </c>
      <c r="E213">
        <v>9.9023046591421835</v>
      </c>
      <c r="F213">
        <v>2.34742671251297</v>
      </c>
      <c r="G213">
        <v>11.504271623889355</v>
      </c>
      <c r="H213">
        <v>23.754002995544511</v>
      </c>
    </row>
    <row r="214" spans="1:8" x14ac:dyDescent="0.55000000000000004">
      <c r="A214">
        <v>211</v>
      </c>
      <c r="B214">
        <v>11.410582505574093</v>
      </c>
      <c r="C214">
        <v>2.721743106842041</v>
      </c>
      <c r="D214">
        <v>12.463824402145864</v>
      </c>
      <c r="E214">
        <v>11.410582505574093</v>
      </c>
      <c r="F214">
        <v>2.721743106842041</v>
      </c>
      <c r="G214">
        <v>12.463824402145864</v>
      </c>
      <c r="H214">
        <v>26.596150014561999</v>
      </c>
    </row>
    <row r="215" spans="1:8" x14ac:dyDescent="0.55000000000000004">
      <c r="A215">
        <v>212</v>
      </c>
      <c r="B215">
        <v>9.5475001745934129</v>
      </c>
      <c r="C215">
        <v>4.4853786826133728</v>
      </c>
      <c r="D215">
        <v>13.07268688781374</v>
      </c>
      <c r="E215">
        <v>9.5475001745934129</v>
      </c>
      <c r="F215">
        <v>4.4853786826133728</v>
      </c>
      <c r="G215">
        <v>13.07268688781374</v>
      </c>
      <c r="H215">
        <v>27.105565745020527</v>
      </c>
    </row>
    <row r="216" spans="1:8" x14ac:dyDescent="0.55000000000000004">
      <c r="A216">
        <v>213</v>
      </c>
      <c r="B216">
        <v>10.371939452536608</v>
      </c>
      <c r="C216">
        <v>4.0599061250686646</v>
      </c>
      <c r="D216">
        <v>11.860450081206578</v>
      </c>
      <c r="E216">
        <v>10.371939452536608</v>
      </c>
      <c r="F216">
        <v>4.0599061250686646</v>
      </c>
      <c r="G216">
        <v>11.860450081206578</v>
      </c>
      <c r="H216">
        <v>26.292295658811852</v>
      </c>
    </row>
    <row r="217" spans="1:8" x14ac:dyDescent="0.55000000000000004">
      <c r="A217">
        <v>214</v>
      </c>
      <c r="B217">
        <v>11.866861859540066</v>
      </c>
      <c r="C217">
        <v>3.7825894951820374</v>
      </c>
      <c r="D217">
        <v>11.63580486120604</v>
      </c>
      <c r="E217">
        <v>11.866861859540066</v>
      </c>
      <c r="F217">
        <v>3.7825894951820374</v>
      </c>
      <c r="G217">
        <v>11.63580486120604</v>
      </c>
      <c r="H217">
        <v>27.285256215928143</v>
      </c>
    </row>
    <row r="218" spans="1:8" x14ac:dyDescent="0.55000000000000004">
      <c r="A218">
        <v>215</v>
      </c>
      <c r="B218">
        <v>9.514796340020462</v>
      </c>
      <c r="C218">
        <v>2.1146819591522217</v>
      </c>
      <c r="D218">
        <v>14.307011878317706</v>
      </c>
      <c r="E218">
        <v>9.514796340020462</v>
      </c>
      <c r="F218">
        <v>2.1146819591522217</v>
      </c>
      <c r="G218">
        <v>14.307011878317706</v>
      </c>
      <c r="H218">
        <v>25.936490177490391</v>
      </c>
    </row>
    <row r="219" spans="1:8" x14ac:dyDescent="0.55000000000000004">
      <c r="A219">
        <v>216</v>
      </c>
      <c r="B219">
        <v>10.147995710792532</v>
      </c>
      <c r="C219">
        <v>4.2830120921134949</v>
      </c>
      <c r="D219">
        <v>14.284271037894259</v>
      </c>
      <c r="E219">
        <v>10.147995710792532</v>
      </c>
      <c r="F219">
        <v>4.2830120921134949</v>
      </c>
      <c r="G219">
        <v>14.284271037894259</v>
      </c>
      <c r="H219">
        <v>28.715278840800288</v>
      </c>
    </row>
    <row r="220" spans="1:8" x14ac:dyDescent="0.55000000000000004">
      <c r="A220">
        <v>217</v>
      </c>
      <c r="B220">
        <v>9.5669804373612504</v>
      </c>
      <c r="C220">
        <v>3.7852786779403687</v>
      </c>
      <c r="D220">
        <v>11.740668040484808</v>
      </c>
      <c r="E220">
        <v>9.5669804373612504</v>
      </c>
      <c r="F220">
        <v>3.7852786779403687</v>
      </c>
      <c r="G220">
        <v>11.740668040484808</v>
      </c>
      <c r="H220">
        <v>25.092927155786427</v>
      </c>
    </row>
    <row r="221" spans="1:8" x14ac:dyDescent="0.55000000000000004">
      <c r="A221">
        <v>218</v>
      </c>
      <c r="B221">
        <v>9.91765057049194</v>
      </c>
      <c r="C221">
        <v>3.3877161145210266</v>
      </c>
      <c r="D221">
        <v>12.938396128349254</v>
      </c>
      <c r="E221">
        <v>9.91765057049194</v>
      </c>
      <c r="F221">
        <v>3.3877161145210266</v>
      </c>
      <c r="G221">
        <v>12.938396128349254</v>
      </c>
      <c r="H221">
        <v>26.24376281336222</v>
      </c>
    </row>
    <row r="222" spans="1:8" x14ac:dyDescent="0.55000000000000004">
      <c r="A222">
        <v>219</v>
      </c>
      <c r="B222">
        <v>13.052254472369953</v>
      </c>
      <c r="C222">
        <v>3.8912534713745117</v>
      </c>
      <c r="D222">
        <v>13.862472743057012</v>
      </c>
      <c r="E222">
        <v>13.052254472369953</v>
      </c>
      <c r="F222">
        <v>3.8912534713745117</v>
      </c>
      <c r="G222">
        <v>13.862472743057012</v>
      </c>
      <c r="H222">
        <v>30.805980686801476</v>
      </c>
    </row>
    <row r="223" spans="1:8" x14ac:dyDescent="0.55000000000000004">
      <c r="A223">
        <v>220</v>
      </c>
      <c r="B223">
        <v>9.0295302211986712</v>
      </c>
      <c r="C223">
        <v>3.4608449339866638</v>
      </c>
      <c r="D223">
        <v>11.659951231021781</v>
      </c>
      <c r="E223">
        <v>9.0295302211986712</v>
      </c>
      <c r="F223">
        <v>3.4608449339866638</v>
      </c>
      <c r="G223">
        <v>11.659951231021781</v>
      </c>
      <c r="H223">
        <v>24.150326386207116</v>
      </c>
    </row>
    <row r="224" spans="1:8" x14ac:dyDescent="0.55000000000000004">
      <c r="A224">
        <v>221</v>
      </c>
      <c r="B224">
        <v>11.09608493686309</v>
      </c>
      <c r="C224">
        <v>3.3116728067398071</v>
      </c>
      <c r="D224">
        <v>13.641793786382362</v>
      </c>
      <c r="E224">
        <v>11.09608493686309</v>
      </c>
      <c r="F224">
        <v>3.3116728067398071</v>
      </c>
      <c r="G224">
        <v>13.641793786382362</v>
      </c>
      <c r="H224">
        <v>28.049551529985258</v>
      </c>
    </row>
    <row r="225" spans="1:8" x14ac:dyDescent="0.55000000000000004">
      <c r="A225">
        <v>222</v>
      </c>
      <c r="B225">
        <v>12.132980559044254</v>
      </c>
      <c r="C225">
        <v>3.5722914338111877</v>
      </c>
      <c r="D225">
        <v>12.884332505713477</v>
      </c>
      <c r="E225">
        <v>12.132980559044254</v>
      </c>
      <c r="F225">
        <v>3.5722914338111877</v>
      </c>
      <c r="G225">
        <v>12.884332505713477</v>
      </c>
      <c r="H225">
        <v>28.589604498568917</v>
      </c>
    </row>
    <row r="226" spans="1:8" x14ac:dyDescent="0.55000000000000004">
      <c r="A226">
        <v>223</v>
      </c>
      <c r="B226">
        <v>10.779653802651165</v>
      </c>
      <c r="C226">
        <v>2.4328663349151611</v>
      </c>
      <c r="D226">
        <v>10.34489130076882</v>
      </c>
      <c r="E226">
        <v>10.779653802651165</v>
      </c>
      <c r="F226">
        <v>2.4328663349151611</v>
      </c>
      <c r="G226">
        <v>10.34489130076882</v>
      </c>
      <c r="H226">
        <v>23.557411438335144</v>
      </c>
    </row>
    <row r="227" spans="1:8" x14ac:dyDescent="0.55000000000000004">
      <c r="A227">
        <v>224</v>
      </c>
      <c r="B227">
        <v>9.1393918359136492</v>
      </c>
      <c r="C227">
        <v>3.9083425402641296</v>
      </c>
      <c r="D227">
        <v>12.881068789374066</v>
      </c>
      <c r="E227">
        <v>9.1393918359136492</v>
      </c>
      <c r="F227">
        <v>3.9083425402641296</v>
      </c>
      <c r="G227">
        <v>12.881068789374066</v>
      </c>
      <c r="H227">
        <v>25.928803165551845</v>
      </c>
    </row>
    <row r="228" spans="1:8" x14ac:dyDescent="0.55000000000000004">
      <c r="A228">
        <v>225</v>
      </c>
      <c r="B228">
        <v>7.3061648006760986</v>
      </c>
      <c r="C228">
        <v>3.56102454662323</v>
      </c>
      <c r="D228">
        <v>11.056414003449531</v>
      </c>
      <c r="E228">
        <v>7.3061648006760986</v>
      </c>
      <c r="F228">
        <v>3.56102454662323</v>
      </c>
      <c r="G228">
        <v>11.056414003449531</v>
      </c>
      <c r="H228">
        <v>21.923603350748859</v>
      </c>
    </row>
    <row r="229" spans="1:8" x14ac:dyDescent="0.55000000000000004">
      <c r="A229">
        <v>226</v>
      </c>
      <c r="B229">
        <v>9.0070606413976222</v>
      </c>
      <c r="C229">
        <v>2.1315425038337708</v>
      </c>
      <c r="D229">
        <v>13.567656685575491</v>
      </c>
      <c r="E229">
        <v>9.0070606413976222</v>
      </c>
      <c r="F229">
        <v>2.1315425038337708</v>
      </c>
      <c r="G229">
        <v>13.567656685575491</v>
      </c>
      <c r="H229">
        <v>24.706259830806886</v>
      </c>
    </row>
    <row r="230" spans="1:8" x14ac:dyDescent="0.55000000000000004">
      <c r="A230">
        <v>227</v>
      </c>
      <c r="B230">
        <v>11.199901694768274</v>
      </c>
      <c r="C230">
        <v>2.7058901786804199</v>
      </c>
      <c r="D230">
        <v>10.481085280925845</v>
      </c>
      <c r="E230">
        <v>11.199901694768274</v>
      </c>
      <c r="F230">
        <v>2.7058901786804199</v>
      </c>
      <c r="G230">
        <v>10.481085280925845</v>
      </c>
      <c r="H230">
        <v>24.386877154374538</v>
      </c>
    </row>
    <row r="231" spans="1:8" x14ac:dyDescent="0.55000000000000004">
      <c r="A231">
        <v>228</v>
      </c>
      <c r="B231">
        <v>9.9680831062808348</v>
      </c>
      <c r="C231">
        <v>3.7210249304771423</v>
      </c>
      <c r="D231">
        <v>10.391820984057738</v>
      </c>
      <c r="E231">
        <v>9.9680831062808348</v>
      </c>
      <c r="F231">
        <v>3.7210249304771423</v>
      </c>
      <c r="G231">
        <v>10.391820984057738</v>
      </c>
      <c r="H231">
        <v>24.080929020815717</v>
      </c>
    </row>
    <row r="232" spans="1:8" x14ac:dyDescent="0.55000000000000004">
      <c r="A232">
        <v>229</v>
      </c>
      <c r="B232">
        <v>8.6062627211809151</v>
      </c>
      <c r="C232">
        <v>2.8917933702468872</v>
      </c>
      <c r="D232">
        <v>12.769419029907672</v>
      </c>
      <c r="E232">
        <v>8.6062627211809151</v>
      </c>
      <c r="F232">
        <v>2.8917933702468872</v>
      </c>
      <c r="G232">
        <v>12.769419029907672</v>
      </c>
      <c r="H232">
        <v>24.267475121335472</v>
      </c>
    </row>
    <row r="233" spans="1:8" x14ac:dyDescent="0.55000000000000004">
      <c r="A233">
        <v>230</v>
      </c>
      <c r="B233">
        <v>9.8136596391999777</v>
      </c>
      <c r="C233">
        <v>3.0745635628700256</v>
      </c>
      <c r="D233">
        <v>11.232555738817515</v>
      </c>
      <c r="E233">
        <v>9.8136596391999777</v>
      </c>
      <c r="F233">
        <v>3.0745635628700256</v>
      </c>
      <c r="G233">
        <v>11.232555738817515</v>
      </c>
      <c r="H233">
        <v>24.120778940887519</v>
      </c>
    </row>
    <row r="234" spans="1:8" x14ac:dyDescent="0.55000000000000004">
      <c r="A234">
        <v>231</v>
      </c>
      <c r="B234">
        <v>9.482875198219741</v>
      </c>
      <c r="C234">
        <v>3.9022805690765381</v>
      </c>
      <c r="D234">
        <v>11.870203399663028</v>
      </c>
      <c r="E234">
        <v>9.482875198219741</v>
      </c>
      <c r="F234">
        <v>3.9022805690765381</v>
      </c>
      <c r="G234">
        <v>11.870203399663028</v>
      </c>
      <c r="H234">
        <v>25.255359166959309</v>
      </c>
    </row>
    <row r="235" spans="1:8" x14ac:dyDescent="0.55000000000000004">
      <c r="A235">
        <v>232</v>
      </c>
      <c r="B235">
        <v>11.983301899677382</v>
      </c>
      <c r="C235">
        <v>3.9035918116569519</v>
      </c>
      <c r="D235">
        <v>12.776629276165865</v>
      </c>
      <c r="E235">
        <v>11.983301899677382</v>
      </c>
      <c r="F235">
        <v>3.9035918116569519</v>
      </c>
      <c r="G235">
        <v>12.776629276165865</v>
      </c>
      <c r="H235">
        <v>28.663522987500201</v>
      </c>
    </row>
    <row r="236" spans="1:8" x14ac:dyDescent="0.55000000000000004">
      <c r="A236">
        <v>233</v>
      </c>
      <c r="B236">
        <v>11.957769321815952</v>
      </c>
      <c r="C236">
        <v>2.1145871877670288</v>
      </c>
      <c r="D236">
        <v>14.021859337929047</v>
      </c>
      <c r="E236">
        <v>11.957769321815952</v>
      </c>
      <c r="F236">
        <v>2.1145871877670288</v>
      </c>
      <c r="G236">
        <v>14.021859337929047</v>
      </c>
      <c r="H236">
        <v>28.094215847512029</v>
      </c>
    </row>
    <row r="237" spans="1:8" x14ac:dyDescent="0.55000000000000004">
      <c r="A237">
        <v>234</v>
      </c>
      <c r="B237">
        <v>9.7907023413616248</v>
      </c>
      <c r="C237">
        <v>4.2024410367012024</v>
      </c>
      <c r="D237">
        <v>13.627957924695588</v>
      </c>
      <c r="E237">
        <v>9.7907023413616248</v>
      </c>
      <c r="F237">
        <v>4.2024410367012024</v>
      </c>
      <c r="G237">
        <v>13.627957924695588</v>
      </c>
      <c r="H237">
        <v>27.621101302758415</v>
      </c>
    </row>
    <row r="238" spans="1:8" x14ac:dyDescent="0.55000000000000004">
      <c r="A238">
        <v>235</v>
      </c>
      <c r="B238">
        <v>9.7837745328336876</v>
      </c>
      <c r="C238">
        <v>4.8302040100097656</v>
      </c>
      <c r="D238">
        <v>13.142661544795798</v>
      </c>
      <c r="E238">
        <v>9.7837745328336876</v>
      </c>
      <c r="F238">
        <v>4.8302040100097656</v>
      </c>
      <c r="G238">
        <v>13.142661544795798</v>
      </c>
      <c r="H238">
        <v>27.756640087639251</v>
      </c>
    </row>
    <row r="239" spans="1:8" x14ac:dyDescent="0.55000000000000004">
      <c r="A239">
        <v>236</v>
      </c>
      <c r="B239">
        <v>9.269081553595182</v>
      </c>
      <c r="C239">
        <v>3.8230475783348083</v>
      </c>
      <c r="D239">
        <v>14.280023957094764</v>
      </c>
      <c r="E239">
        <v>9.269081553595182</v>
      </c>
      <c r="F239">
        <v>3.8230475783348083</v>
      </c>
      <c r="G239">
        <v>14.280023957094764</v>
      </c>
      <c r="H239">
        <v>27.372153089024756</v>
      </c>
    </row>
    <row r="240" spans="1:8" x14ac:dyDescent="0.55000000000000004">
      <c r="A240">
        <v>237</v>
      </c>
      <c r="B240">
        <v>9.5934502206825307</v>
      </c>
      <c r="C240">
        <v>4.2577873468399048</v>
      </c>
      <c r="D240">
        <v>11.978283852561262</v>
      </c>
      <c r="E240">
        <v>9.5934502206825307</v>
      </c>
      <c r="F240">
        <v>4.2577873468399048</v>
      </c>
      <c r="G240">
        <v>11.978283852561262</v>
      </c>
      <c r="H240">
        <v>25.829521420083697</v>
      </c>
    </row>
    <row r="241" spans="1:8" x14ac:dyDescent="0.55000000000000004">
      <c r="A241">
        <v>238</v>
      </c>
      <c r="B241">
        <v>10.38457319662036</v>
      </c>
      <c r="C241">
        <v>3.436378538608551</v>
      </c>
      <c r="D241">
        <v>14.634874655938237</v>
      </c>
      <c r="E241">
        <v>10.38457319662036</v>
      </c>
      <c r="F241">
        <v>3.436378538608551</v>
      </c>
      <c r="G241">
        <v>14.634874655938237</v>
      </c>
      <c r="H241">
        <v>28.45582639116715</v>
      </c>
    </row>
    <row r="242" spans="1:8" x14ac:dyDescent="0.55000000000000004">
      <c r="A242">
        <v>239</v>
      </c>
      <c r="B242">
        <v>11.006960994364295</v>
      </c>
      <c r="C242">
        <v>4.0546629428863525</v>
      </c>
      <c r="D242">
        <v>12.056827452373945</v>
      </c>
      <c r="E242">
        <v>11.006960994364295</v>
      </c>
      <c r="F242">
        <v>4.0546629428863525</v>
      </c>
      <c r="G242">
        <v>12.056827452373945</v>
      </c>
      <c r="H242">
        <v>27.118451389624592</v>
      </c>
    </row>
    <row r="243" spans="1:8" x14ac:dyDescent="0.55000000000000004">
      <c r="A243">
        <v>240</v>
      </c>
      <c r="B243">
        <v>9.3584389325738027</v>
      </c>
      <c r="C243">
        <v>3.4118263125419617</v>
      </c>
      <c r="D243">
        <v>12.181388818644709</v>
      </c>
      <c r="E243">
        <v>9.3584389325738027</v>
      </c>
      <c r="F243">
        <v>3.4118263125419617</v>
      </c>
      <c r="G243">
        <v>12.181388818644709</v>
      </c>
      <c r="H243">
        <v>24.951654063760472</v>
      </c>
    </row>
    <row r="244" spans="1:8" x14ac:dyDescent="0.55000000000000004">
      <c r="A244">
        <v>241</v>
      </c>
      <c r="B244">
        <v>8.7698066540391011</v>
      </c>
      <c r="C244">
        <v>3.0831736326217651</v>
      </c>
      <c r="D244">
        <v>11.435398016237736</v>
      </c>
      <c r="E244">
        <v>8.7698066540391011</v>
      </c>
      <c r="F244">
        <v>3.0831736326217651</v>
      </c>
      <c r="G244">
        <v>11.435398016237736</v>
      </c>
      <c r="H244">
        <v>23.2883783028986</v>
      </c>
    </row>
    <row r="245" spans="1:8" x14ac:dyDescent="0.55000000000000004">
      <c r="A245">
        <v>242</v>
      </c>
      <c r="B245">
        <v>9.8540712706268732</v>
      </c>
      <c r="C245">
        <v>2.8958218693733215</v>
      </c>
      <c r="D245">
        <v>12.748651431820807</v>
      </c>
      <c r="E245">
        <v>9.8540712706268732</v>
      </c>
      <c r="F245">
        <v>2.8958218693733215</v>
      </c>
      <c r="G245">
        <v>12.748651431820807</v>
      </c>
      <c r="H245">
        <v>25.498544571821</v>
      </c>
    </row>
    <row r="246" spans="1:8" x14ac:dyDescent="0.55000000000000004">
      <c r="A246">
        <v>243</v>
      </c>
      <c r="B246">
        <v>10.159653182630692</v>
      </c>
      <c r="C246">
        <v>3.7881207466125488</v>
      </c>
      <c r="D246">
        <v>10.637116758302607</v>
      </c>
      <c r="E246">
        <v>10.159653182630692</v>
      </c>
      <c r="F246">
        <v>3.7881207466125488</v>
      </c>
      <c r="G246">
        <v>10.637116758302607</v>
      </c>
      <c r="H246">
        <v>24.584890687545847</v>
      </c>
    </row>
    <row r="247" spans="1:8" x14ac:dyDescent="0.55000000000000004">
      <c r="A247">
        <v>244</v>
      </c>
      <c r="B247">
        <v>10.11893922482029</v>
      </c>
      <c r="C247">
        <v>3.1209167838096619</v>
      </c>
      <c r="D247">
        <v>12.870179398932333</v>
      </c>
      <c r="E247">
        <v>10.11893922482029</v>
      </c>
      <c r="F247">
        <v>3.1209167838096619</v>
      </c>
      <c r="G247">
        <v>12.870179398932333</v>
      </c>
      <c r="H247">
        <v>26.110035407562286</v>
      </c>
    </row>
    <row r="248" spans="1:8" x14ac:dyDescent="0.55000000000000004">
      <c r="A248">
        <v>245</v>
      </c>
      <c r="B248">
        <v>9.169037004935257</v>
      </c>
      <c r="C248">
        <v>2.3515492677688599</v>
      </c>
      <c r="D248">
        <v>11.040242779619369</v>
      </c>
      <c r="E248">
        <v>9.169037004935257</v>
      </c>
      <c r="F248">
        <v>2.3515492677688599</v>
      </c>
      <c r="G248">
        <v>11.040242779619369</v>
      </c>
      <c r="H248">
        <v>22.560829052323484</v>
      </c>
    </row>
    <row r="249" spans="1:8" x14ac:dyDescent="0.55000000000000004">
      <c r="A249">
        <v>246</v>
      </c>
      <c r="B249">
        <v>8.6315901556661316</v>
      </c>
      <c r="C249">
        <v>4.7265840172767639</v>
      </c>
      <c r="D249">
        <v>10.669768112820528</v>
      </c>
      <c r="E249">
        <v>8.6315901556661316</v>
      </c>
      <c r="F249">
        <v>4.7265840172767639</v>
      </c>
      <c r="G249">
        <v>10.669768112820528</v>
      </c>
      <c r="H249">
        <v>24.027942285763423</v>
      </c>
    </row>
    <row r="250" spans="1:8" x14ac:dyDescent="0.55000000000000004">
      <c r="A250">
        <v>247</v>
      </c>
      <c r="B250">
        <v>9.3645133628086192</v>
      </c>
      <c r="C250">
        <v>2.5311267375946045</v>
      </c>
      <c r="D250">
        <v>12.093163610980133</v>
      </c>
      <c r="E250">
        <v>9.3645133628086192</v>
      </c>
      <c r="F250">
        <v>2.5311267375946045</v>
      </c>
      <c r="G250">
        <v>12.093163610980133</v>
      </c>
      <c r="H250">
        <v>23.988803711383355</v>
      </c>
    </row>
    <row r="251" spans="1:8" x14ac:dyDescent="0.55000000000000004">
      <c r="A251">
        <v>248</v>
      </c>
      <c r="B251">
        <v>9.6349135599650673</v>
      </c>
      <c r="C251">
        <v>4.6229874491691589</v>
      </c>
      <c r="D251">
        <v>10.487615512954122</v>
      </c>
      <c r="E251">
        <v>9.6349135599650673</v>
      </c>
      <c r="F251">
        <v>4.6229874491691589</v>
      </c>
      <c r="G251">
        <v>10.487615512954122</v>
      </c>
      <c r="H251">
        <v>24.745516522088348</v>
      </c>
    </row>
    <row r="252" spans="1:8" x14ac:dyDescent="0.55000000000000004">
      <c r="A252">
        <v>249</v>
      </c>
      <c r="B252">
        <v>10.088530352677795</v>
      </c>
      <c r="C252">
        <v>2.838365912437439</v>
      </c>
      <c r="D252">
        <v>12.236543859268384</v>
      </c>
      <c r="E252">
        <v>10.088530352677795</v>
      </c>
      <c r="F252">
        <v>2.838365912437439</v>
      </c>
      <c r="G252">
        <v>12.236543859268384</v>
      </c>
      <c r="H252">
        <v>25.163440124383619</v>
      </c>
    </row>
    <row r="253" spans="1:8" x14ac:dyDescent="0.55000000000000004">
      <c r="A253">
        <v>250</v>
      </c>
      <c r="B253">
        <v>9.3802987789663046</v>
      </c>
      <c r="C253">
        <v>4.6789701581001282</v>
      </c>
      <c r="D253">
        <v>11.845963394140995</v>
      </c>
      <c r="E253">
        <v>9.3802987789663046</v>
      </c>
      <c r="F253">
        <v>4.6789701581001282</v>
      </c>
      <c r="G253">
        <v>11.845963394140995</v>
      </c>
      <c r="H253">
        <v>25.905232331207429</v>
      </c>
    </row>
    <row r="254" spans="1:8" x14ac:dyDescent="0.55000000000000004">
      <c r="A254">
        <v>251</v>
      </c>
      <c r="B254">
        <v>11.632007333459679</v>
      </c>
      <c r="C254">
        <v>3.4629411697387695</v>
      </c>
      <c r="D254">
        <v>11.538558838820999</v>
      </c>
      <c r="E254">
        <v>11.632007333459679</v>
      </c>
      <c r="F254">
        <v>3.4629411697387695</v>
      </c>
      <c r="G254">
        <v>11.538558838820999</v>
      </c>
      <c r="H254">
        <v>26.633507342019449</v>
      </c>
    </row>
    <row r="255" spans="1:8" x14ac:dyDescent="0.55000000000000004">
      <c r="A255">
        <v>252</v>
      </c>
      <c r="B255">
        <v>9.4206056171395662</v>
      </c>
      <c r="C255">
        <v>3.2655114531517029</v>
      </c>
      <c r="D255">
        <v>13.559690939571542</v>
      </c>
      <c r="E255">
        <v>9.4206056171395662</v>
      </c>
      <c r="F255">
        <v>3.2655114531517029</v>
      </c>
      <c r="G255">
        <v>13.559690939571542</v>
      </c>
      <c r="H255">
        <v>26.245808009862813</v>
      </c>
    </row>
    <row r="256" spans="1:8" x14ac:dyDescent="0.55000000000000004">
      <c r="A256">
        <v>253</v>
      </c>
      <c r="B256">
        <v>9.2869671485675234</v>
      </c>
      <c r="C256">
        <v>2.0993486642837524</v>
      </c>
      <c r="D256">
        <v>13.148595261353476</v>
      </c>
      <c r="E256">
        <v>9.2869671485675234</v>
      </c>
      <c r="F256">
        <v>2.0993486642837524</v>
      </c>
      <c r="G256">
        <v>13.148595261353476</v>
      </c>
      <c r="H256">
        <v>24.53491107420475</v>
      </c>
    </row>
    <row r="257" spans="1:8" x14ac:dyDescent="0.55000000000000004">
      <c r="A257">
        <v>254</v>
      </c>
      <c r="B257">
        <v>10.652536687407014</v>
      </c>
      <c r="C257">
        <v>4.4359026551246643</v>
      </c>
      <c r="D257">
        <v>10.958999789050003</v>
      </c>
      <c r="E257">
        <v>10.652536687407014</v>
      </c>
      <c r="F257">
        <v>4.4359026551246643</v>
      </c>
      <c r="G257">
        <v>10.958999789050003</v>
      </c>
      <c r="H257">
        <v>26.047439131581683</v>
      </c>
    </row>
    <row r="258" spans="1:8" x14ac:dyDescent="0.55000000000000004">
      <c r="A258">
        <v>255</v>
      </c>
      <c r="B258">
        <v>10.880268769179377</v>
      </c>
      <c r="C258">
        <v>2.5821602344512939</v>
      </c>
      <c r="D258">
        <v>13.574065647768263</v>
      </c>
      <c r="E258">
        <v>10.880268769179377</v>
      </c>
      <c r="F258">
        <v>2.5821602344512939</v>
      </c>
      <c r="G258">
        <v>13.574065647768263</v>
      </c>
      <c r="H258">
        <v>27.036494651398932</v>
      </c>
    </row>
    <row r="259" spans="1:8" x14ac:dyDescent="0.55000000000000004">
      <c r="A259">
        <v>256</v>
      </c>
      <c r="B259">
        <v>8.1243216672483722</v>
      </c>
      <c r="C259">
        <v>2.2738916277885437</v>
      </c>
      <c r="D259">
        <v>10.906370878379372</v>
      </c>
      <c r="E259">
        <v>8.1243216672483722</v>
      </c>
      <c r="F259">
        <v>2.2738916277885437</v>
      </c>
      <c r="G259">
        <v>10.906370878379372</v>
      </c>
      <c r="H259">
        <v>21.304584173416288</v>
      </c>
    </row>
    <row r="260" spans="1:8" x14ac:dyDescent="0.55000000000000004">
      <c r="A260">
        <v>257</v>
      </c>
      <c r="B260">
        <v>8.9497196446599059</v>
      </c>
      <c r="C260">
        <v>3.9861210584640503</v>
      </c>
      <c r="D260">
        <v>10.110320770558799</v>
      </c>
      <c r="E260">
        <v>8.9497196446599059</v>
      </c>
      <c r="F260">
        <v>3.9861210584640503</v>
      </c>
      <c r="G260">
        <v>10.110320770558799</v>
      </c>
      <c r="H260">
        <v>23.046161473682755</v>
      </c>
    </row>
    <row r="261" spans="1:8" x14ac:dyDescent="0.55000000000000004">
      <c r="A261">
        <v>258</v>
      </c>
      <c r="B261">
        <v>9.3416700658558085</v>
      </c>
      <c r="C261">
        <v>3.6910460591316223</v>
      </c>
      <c r="D261">
        <v>12.981434150804173</v>
      </c>
      <c r="E261">
        <v>9.3416700658558085</v>
      </c>
      <c r="F261">
        <v>3.6910460591316223</v>
      </c>
      <c r="G261">
        <v>12.981434150804173</v>
      </c>
      <c r="H261">
        <v>26.014150275791604</v>
      </c>
    </row>
    <row r="262" spans="1:8" x14ac:dyDescent="0.55000000000000004">
      <c r="A262">
        <v>259</v>
      </c>
      <c r="B262">
        <v>9.5530199500362656</v>
      </c>
      <c r="C262">
        <v>4.5973410606384277</v>
      </c>
      <c r="D262">
        <v>13.166453112049918</v>
      </c>
      <c r="E262">
        <v>9.5530199500362656</v>
      </c>
      <c r="F262">
        <v>4.5973410606384277</v>
      </c>
      <c r="G262">
        <v>13.166453112049918</v>
      </c>
      <c r="H262">
        <v>27.316814122724612</v>
      </c>
    </row>
    <row r="263" spans="1:8" x14ac:dyDescent="0.55000000000000004">
      <c r="A263">
        <v>260</v>
      </c>
      <c r="B263">
        <v>9.965227252708651</v>
      </c>
      <c r="C263">
        <v>3.7045854926109314</v>
      </c>
      <c r="D263">
        <v>12.829051235849246</v>
      </c>
      <c r="E263">
        <v>9.965227252708651</v>
      </c>
      <c r="F263">
        <v>3.7045854926109314</v>
      </c>
      <c r="G263">
        <v>12.829051235849246</v>
      </c>
      <c r="H263">
        <v>26.498863981168828</v>
      </c>
    </row>
    <row r="264" spans="1:8" x14ac:dyDescent="0.55000000000000004">
      <c r="A264">
        <v>261</v>
      </c>
      <c r="B264">
        <v>10.091043923265071</v>
      </c>
      <c r="C264">
        <v>4.9118300676345825</v>
      </c>
      <c r="D264">
        <v>12.966964112929258</v>
      </c>
      <c r="E264">
        <v>10.091043923265071</v>
      </c>
      <c r="F264">
        <v>4.9118300676345825</v>
      </c>
      <c r="G264">
        <v>12.966964112929258</v>
      </c>
      <c r="H264">
        <v>27.969838103828913</v>
      </c>
    </row>
    <row r="265" spans="1:8" x14ac:dyDescent="0.55000000000000004">
      <c r="A265">
        <v>262</v>
      </c>
      <c r="B265">
        <v>10.551245369386516</v>
      </c>
      <c r="C265">
        <v>4.9769321084022522</v>
      </c>
      <c r="D265">
        <v>11.908856220599878</v>
      </c>
      <c r="E265">
        <v>10.551245369386516</v>
      </c>
      <c r="F265">
        <v>4.9769321084022522</v>
      </c>
      <c r="G265">
        <v>11.908856220599878</v>
      </c>
      <c r="H265">
        <v>27.437033698388646</v>
      </c>
    </row>
    <row r="266" spans="1:8" x14ac:dyDescent="0.55000000000000004">
      <c r="A266">
        <v>263</v>
      </c>
      <c r="B266">
        <v>10.325035108938755</v>
      </c>
      <c r="C266">
        <v>3.5676267147064209</v>
      </c>
      <c r="D266">
        <v>14.080139648162241</v>
      </c>
      <c r="E266">
        <v>10.325035108938755</v>
      </c>
      <c r="F266">
        <v>3.5676267147064209</v>
      </c>
      <c r="G266">
        <v>14.080139648162241</v>
      </c>
      <c r="H266">
        <v>27.972801471807415</v>
      </c>
    </row>
    <row r="267" spans="1:8" x14ac:dyDescent="0.55000000000000004">
      <c r="A267">
        <v>264</v>
      </c>
      <c r="B267">
        <v>12.602049286897113</v>
      </c>
      <c r="C267">
        <v>3.148230254650116</v>
      </c>
      <c r="D267">
        <v>12.969262554573341</v>
      </c>
      <c r="E267">
        <v>12.602049286897113</v>
      </c>
      <c r="F267">
        <v>3.148230254650116</v>
      </c>
      <c r="G267">
        <v>12.969262554573341</v>
      </c>
      <c r="H267">
        <v>28.71954209612057</v>
      </c>
    </row>
    <row r="268" spans="1:8" x14ac:dyDescent="0.55000000000000004">
      <c r="A268">
        <v>265</v>
      </c>
      <c r="B268">
        <v>8.7384029962455312</v>
      </c>
      <c r="C268">
        <v>4.8667711019515991</v>
      </c>
      <c r="D268">
        <v>10.938616723302891</v>
      </c>
      <c r="E268">
        <v>8.7384029962455312</v>
      </c>
      <c r="F268">
        <v>4.8667711019515991</v>
      </c>
      <c r="G268">
        <v>10.938616723302891</v>
      </c>
      <c r="H268">
        <v>24.543790821500021</v>
      </c>
    </row>
    <row r="269" spans="1:8" x14ac:dyDescent="0.55000000000000004">
      <c r="A269">
        <v>266</v>
      </c>
      <c r="B269">
        <v>10.235941899794943</v>
      </c>
      <c r="C269">
        <v>4.243084728717804</v>
      </c>
      <c r="D269">
        <v>13.479616144488512</v>
      </c>
      <c r="E269">
        <v>10.235941899794943</v>
      </c>
      <c r="F269">
        <v>4.243084728717804</v>
      </c>
      <c r="G269">
        <v>13.479616144488512</v>
      </c>
      <c r="H269">
        <v>27.958642773001259</v>
      </c>
    </row>
    <row r="270" spans="1:8" x14ac:dyDescent="0.55000000000000004">
      <c r="A270">
        <v>267</v>
      </c>
      <c r="B270">
        <v>8.705365578038279</v>
      </c>
      <c r="C270">
        <v>3.2933712005615234</v>
      </c>
      <c r="D270">
        <v>12.523619829987073</v>
      </c>
      <c r="E270">
        <v>8.705365578038279</v>
      </c>
      <c r="F270">
        <v>3.2933712005615234</v>
      </c>
      <c r="G270">
        <v>12.523619829987073</v>
      </c>
      <c r="H270">
        <v>24.522356608586875</v>
      </c>
    </row>
    <row r="271" spans="1:8" x14ac:dyDescent="0.55000000000000004">
      <c r="A271">
        <v>268</v>
      </c>
      <c r="B271">
        <v>11.389213814542659</v>
      </c>
      <c r="C271">
        <v>3.1827678084373474</v>
      </c>
      <c r="D271">
        <v>12.196531491611083</v>
      </c>
      <c r="E271">
        <v>11.389213814542659</v>
      </c>
      <c r="F271">
        <v>3.1827678084373474</v>
      </c>
      <c r="G271">
        <v>12.196531491611083</v>
      </c>
      <c r="H271">
        <v>26.768513114591087</v>
      </c>
    </row>
    <row r="272" spans="1:8" x14ac:dyDescent="0.55000000000000004">
      <c r="A272">
        <v>269</v>
      </c>
      <c r="B272">
        <v>9.16923449730211</v>
      </c>
      <c r="C272">
        <v>4.1840130090713501</v>
      </c>
      <c r="D272">
        <v>11.417709915455484</v>
      </c>
      <c r="E272">
        <v>9.16923449730211</v>
      </c>
      <c r="F272">
        <v>4.1840130090713501</v>
      </c>
      <c r="G272">
        <v>11.417709915455484</v>
      </c>
      <c r="H272">
        <v>24.770957421828946</v>
      </c>
    </row>
    <row r="273" spans="1:8" x14ac:dyDescent="0.55000000000000004">
      <c r="A273">
        <v>270</v>
      </c>
      <c r="B273">
        <v>10.385330057263241</v>
      </c>
      <c r="C273">
        <v>3.1841450333595276</v>
      </c>
      <c r="D273">
        <v>10.686534550496827</v>
      </c>
      <c r="E273">
        <v>10.385330057263241</v>
      </c>
      <c r="F273">
        <v>3.1841450333595276</v>
      </c>
      <c r="G273">
        <v>10.686534550496827</v>
      </c>
      <c r="H273">
        <v>24.256009641119597</v>
      </c>
    </row>
    <row r="274" spans="1:8" x14ac:dyDescent="0.55000000000000004">
      <c r="A274">
        <v>271</v>
      </c>
      <c r="B274">
        <v>9.3054098672270928</v>
      </c>
      <c r="C274">
        <v>2.4567644596099854</v>
      </c>
      <c r="D274">
        <v>11.33241857004329</v>
      </c>
      <c r="E274">
        <v>9.3054098672270928</v>
      </c>
      <c r="F274">
        <v>2.4567644596099854</v>
      </c>
      <c r="G274">
        <v>11.33241857004329</v>
      </c>
      <c r="H274">
        <v>23.094592896880368</v>
      </c>
    </row>
    <row r="275" spans="1:8" x14ac:dyDescent="0.55000000000000004">
      <c r="A275">
        <v>272</v>
      </c>
      <c r="B275">
        <v>9.8032397021900497</v>
      </c>
      <c r="C275">
        <v>3.5765697360038757</v>
      </c>
      <c r="D275">
        <v>13.552210481769675</v>
      </c>
      <c r="E275">
        <v>9.8032397021900497</v>
      </c>
      <c r="F275">
        <v>3.5765697360038757</v>
      </c>
      <c r="G275">
        <v>13.552210481769675</v>
      </c>
      <c r="H275">
        <v>26.932019919963601</v>
      </c>
    </row>
    <row r="276" spans="1:8" x14ac:dyDescent="0.55000000000000004">
      <c r="A276">
        <v>273</v>
      </c>
      <c r="B276">
        <v>9.5623562867737366</v>
      </c>
      <c r="C276">
        <v>4.0550230741500854</v>
      </c>
      <c r="D276">
        <v>13.037485414911515</v>
      </c>
      <c r="E276">
        <v>9.5623562867737366</v>
      </c>
      <c r="F276">
        <v>4.0550230741500854</v>
      </c>
      <c r="G276">
        <v>13.037485414911515</v>
      </c>
      <c r="H276">
        <v>26.654864775835335</v>
      </c>
    </row>
    <row r="277" spans="1:8" x14ac:dyDescent="0.55000000000000004">
      <c r="A277">
        <v>274</v>
      </c>
      <c r="B277">
        <v>10.838450912189694</v>
      </c>
      <c r="C277">
        <v>4.3179963231086731</v>
      </c>
      <c r="D277">
        <v>12.044041736311542</v>
      </c>
      <c r="E277">
        <v>10.838450912189694</v>
      </c>
      <c r="F277">
        <v>4.3179963231086731</v>
      </c>
      <c r="G277">
        <v>12.044041736311542</v>
      </c>
      <c r="H277">
        <v>27.200488971609907</v>
      </c>
    </row>
    <row r="278" spans="1:8" x14ac:dyDescent="0.55000000000000004">
      <c r="A278">
        <v>275</v>
      </c>
      <c r="B278">
        <v>10.834749471407276</v>
      </c>
      <c r="C278">
        <v>4.5124573707580566</v>
      </c>
      <c r="D278">
        <v>12.648406564402736</v>
      </c>
      <c r="E278">
        <v>10.834749471407276</v>
      </c>
      <c r="F278">
        <v>4.5124573707580566</v>
      </c>
      <c r="G278">
        <v>12.648406564402736</v>
      </c>
      <c r="H278">
        <v>27.995613406568069</v>
      </c>
    </row>
    <row r="279" spans="1:8" x14ac:dyDescent="0.55000000000000004">
      <c r="A279">
        <v>276</v>
      </c>
      <c r="B279">
        <v>10.085617103768717</v>
      </c>
      <c r="C279">
        <v>4.2415623068809509</v>
      </c>
      <c r="D279">
        <v>11.08025260743822</v>
      </c>
      <c r="E279">
        <v>10.085617103768717</v>
      </c>
      <c r="F279">
        <v>4.2415623068809509</v>
      </c>
      <c r="G279">
        <v>11.08025260743822</v>
      </c>
      <c r="H279">
        <v>25.407432018087889</v>
      </c>
    </row>
    <row r="280" spans="1:8" x14ac:dyDescent="0.55000000000000004">
      <c r="A280">
        <v>277</v>
      </c>
      <c r="B280">
        <v>11.075228989086195</v>
      </c>
      <c r="C280">
        <v>4.7952920198440552</v>
      </c>
      <c r="D280">
        <v>13.382668045524778</v>
      </c>
      <c r="E280">
        <v>11.075228989086195</v>
      </c>
      <c r="F280">
        <v>4.7952920198440552</v>
      </c>
      <c r="G280">
        <v>13.382668045524778</v>
      </c>
      <c r="H280">
        <v>29.253189054455028</v>
      </c>
    </row>
    <row r="281" spans="1:8" x14ac:dyDescent="0.55000000000000004">
      <c r="A281">
        <v>278</v>
      </c>
      <c r="B281">
        <v>9.50084108633399</v>
      </c>
      <c r="C281">
        <v>3.8138890862464905</v>
      </c>
      <c r="D281">
        <v>13.176943248500077</v>
      </c>
      <c r="E281">
        <v>9.50084108633399</v>
      </c>
      <c r="F281">
        <v>3.8138890862464905</v>
      </c>
      <c r="G281">
        <v>13.176943248500077</v>
      </c>
      <c r="H281">
        <v>26.491673421080556</v>
      </c>
    </row>
    <row r="282" spans="1:8" x14ac:dyDescent="0.55000000000000004">
      <c r="A282">
        <v>279</v>
      </c>
      <c r="B282">
        <v>8.5998212699923062</v>
      </c>
      <c r="C282">
        <v>4.3281867504119873</v>
      </c>
      <c r="D282">
        <v>13.428316686195224</v>
      </c>
      <c r="E282">
        <v>8.5998212699923062</v>
      </c>
      <c r="F282">
        <v>4.3281867504119873</v>
      </c>
      <c r="G282">
        <v>13.428316686195224</v>
      </c>
      <c r="H282">
        <v>26.356324706599516</v>
      </c>
    </row>
    <row r="283" spans="1:8" x14ac:dyDescent="0.55000000000000004">
      <c r="A283">
        <v>280</v>
      </c>
      <c r="B283">
        <v>9.8308295532070513</v>
      </c>
      <c r="C283">
        <v>2.936351478099823</v>
      </c>
      <c r="D283">
        <v>12.963645453142428</v>
      </c>
      <c r="E283">
        <v>9.8308295532070513</v>
      </c>
      <c r="F283">
        <v>2.936351478099823</v>
      </c>
      <c r="G283">
        <v>12.963645453142428</v>
      </c>
      <c r="H283">
        <v>25.730826484449302</v>
      </c>
    </row>
    <row r="284" spans="1:8" x14ac:dyDescent="0.55000000000000004">
      <c r="A284">
        <v>281</v>
      </c>
      <c r="B284">
        <v>7.9366290854214121</v>
      </c>
      <c r="C284">
        <v>4.8599590063095093</v>
      </c>
      <c r="D284">
        <v>10.994727001118934</v>
      </c>
      <c r="E284">
        <v>7.9366290854214121</v>
      </c>
      <c r="F284">
        <v>4.8599590063095093</v>
      </c>
      <c r="G284">
        <v>10.994727001118934</v>
      </c>
      <c r="H284">
        <v>23.791315092849857</v>
      </c>
    </row>
    <row r="285" spans="1:8" x14ac:dyDescent="0.55000000000000004">
      <c r="A285">
        <v>282</v>
      </c>
      <c r="B285">
        <v>9.2207909514318445</v>
      </c>
      <c r="C285">
        <v>3.0705659985542297</v>
      </c>
      <c r="D285">
        <v>11.924528817313645</v>
      </c>
      <c r="E285">
        <v>9.2207909514318445</v>
      </c>
      <c r="F285">
        <v>3.0705659985542297</v>
      </c>
      <c r="G285">
        <v>11.924528817313645</v>
      </c>
      <c r="H285">
        <v>24.215885767299717</v>
      </c>
    </row>
    <row r="286" spans="1:8" x14ac:dyDescent="0.55000000000000004">
      <c r="A286">
        <v>283</v>
      </c>
      <c r="B286">
        <v>10.273293571125022</v>
      </c>
      <c r="C286">
        <v>2.5754003524780273</v>
      </c>
      <c r="D286">
        <v>11.899269863431016</v>
      </c>
      <c r="E286">
        <v>10.273293571125022</v>
      </c>
      <c r="F286">
        <v>2.5754003524780273</v>
      </c>
      <c r="G286">
        <v>11.899269863431016</v>
      </c>
      <c r="H286">
        <v>24.747963787034067</v>
      </c>
    </row>
    <row r="287" spans="1:8" x14ac:dyDescent="0.55000000000000004">
      <c r="A287">
        <v>284</v>
      </c>
      <c r="B287">
        <v>12.775833563852041</v>
      </c>
      <c r="C287">
        <v>2.7193478941917419</v>
      </c>
      <c r="D287">
        <v>12.460822826920952</v>
      </c>
      <c r="E287">
        <v>12.775833563852041</v>
      </c>
      <c r="F287">
        <v>2.7193478941917419</v>
      </c>
      <c r="G287">
        <v>12.460822826920952</v>
      </c>
      <c r="H287">
        <v>27.956004284964735</v>
      </c>
    </row>
    <row r="288" spans="1:8" x14ac:dyDescent="0.55000000000000004">
      <c r="A288">
        <v>285</v>
      </c>
      <c r="B288">
        <v>8.9193846355225084</v>
      </c>
      <c r="C288">
        <v>3.6094366312026978</v>
      </c>
      <c r="D288">
        <v>11.065198444897772</v>
      </c>
      <c r="E288">
        <v>8.9193846355225084</v>
      </c>
      <c r="F288">
        <v>3.6094366312026978</v>
      </c>
      <c r="G288">
        <v>11.065198444897772</v>
      </c>
      <c r="H288">
        <v>23.594019711622977</v>
      </c>
    </row>
    <row r="289" spans="1:8" x14ac:dyDescent="0.55000000000000004">
      <c r="A289">
        <v>286</v>
      </c>
      <c r="B289">
        <v>7.5693123481158402</v>
      </c>
      <c r="C289">
        <v>3.0443869233131409</v>
      </c>
      <c r="D289">
        <v>11.22301148930266</v>
      </c>
      <c r="E289">
        <v>7.5693123481158402</v>
      </c>
      <c r="F289">
        <v>3.0443869233131409</v>
      </c>
      <c r="G289">
        <v>11.22301148930266</v>
      </c>
      <c r="H289">
        <v>21.836710760731641</v>
      </c>
    </row>
    <row r="290" spans="1:8" x14ac:dyDescent="0.55000000000000004">
      <c r="A290">
        <v>287</v>
      </c>
      <c r="B290">
        <v>11.651246533581796</v>
      </c>
      <c r="C290">
        <v>2.8698818683624268</v>
      </c>
      <c r="D290">
        <v>12.131949188317421</v>
      </c>
      <c r="E290">
        <v>11.651246533581796</v>
      </c>
      <c r="F290">
        <v>2.8698818683624268</v>
      </c>
      <c r="G290">
        <v>12.131949188317421</v>
      </c>
      <c r="H290">
        <v>26.653077590261645</v>
      </c>
    </row>
    <row r="291" spans="1:8" x14ac:dyDescent="0.55000000000000004">
      <c r="A291">
        <v>288</v>
      </c>
      <c r="B291">
        <v>10.262472342076448</v>
      </c>
      <c r="C291">
        <v>2.1518918871879578</v>
      </c>
      <c r="D291">
        <v>11.946559705354083</v>
      </c>
      <c r="E291">
        <v>10.262472342076448</v>
      </c>
      <c r="F291">
        <v>2.1518918871879578</v>
      </c>
      <c r="G291">
        <v>11.946559705354083</v>
      </c>
      <c r="H291">
        <v>24.360923934618491</v>
      </c>
    </row>
    <row r="292" spans="1:8" x14ac:dyDescent="0.55000000000000004">
      <c r="A292">
        <v>289</v>
      </c>
      <c r="B292">
        <v>8.8556493408523469</v>
      </c>
      <c r="C292">
        <v>4.8250359296798706</v>
      </c>
      <c r="D292">
        <v>13.962117025671326</v>
      </c>
      <c r="E292">
        <v>8.8556493408523469</v>
      </c>
      <c r="F292">
        <v>4.8250359296798706</v>
      </c>
      <c r="G292">
        <v>13.962117025671326</v>
      </c>
      <c r="H292">
        <v>27.642802296203541</v>
      </c>
    </row>
    <row r="293" spans="1:8" x14ac:dyDescent="0.55000000000000004">
      <c r="A293">
        <v>290</v>
      </c>
      <c r="B293">
        <v>10.057815229271277</v>
      </c>
      <c r="C293">
        <v>2.3274539113044739</v>
      </c>
      <c r="D293">
        <v>11.830157983558111</v>
      </c>
      <c r="E293">
        <v>10.057815229271277</v>
      </c>
      <c r="F293">
        <v>2.3274539113044739</v>
      </c>
      <c r="G293">
        <v>11.830157983558111</v>
      </c>
      <c r="H293">
        <v>24.215427124133861</v>
      </c>
    </row>
    <row r="294" spans="1:8" x14ac:dyDescent="0.55000000000000004">
      <c r="A294">
        <v>291</v>
      </c>
      <c r="B294">
        <v>11.021090595625262</v>
      </c>
      <c r="C294">
        <v>3.6623759269714355</v>
      </c>
      <c r="D294">
        <v>11.610329243243317</v>
      </c>
      <c r="E294">
        <v>11.021090595625262</v>
      </c>
      <c r="F294">
        <v>3.6623759269714355</v>
      </c>
      <c r="G294">
        <v>11.610329243243317</v>
      </c>
      <c r="H294">
        <v>26.293795765840017</v>
      </c>
    </row>
    <row r="295" spans="1:8" x14ac:dyDescent="0.55000000000000004">
      <c r="A295">
        <v>292</v>
      </c>
      <c r="B295">
        <v>9.0527643909821016</v>
      </c>
      <c r="C295">
        <v>4.2513784766197205</v>
      </c>
      <c r="D295">
        <v>11.941641350064023</v>
      </c>
      <c r="E295">
        <v>9.0527643909821016</v>
      </c>
      <c r="F295">
        <v>4.2513784766197205</v>
      </c>
      <c r="G295">
        <v>11.941641350064023</v>
      </c>
      <c r="H295">
        <v>25.245784217665843</v>
      </c>
    </row>
    <row r="296" spans="1:8" x14ac:dyDescent="0.55000000000000004">
      <c r="A296">
        <v>293</v>
      </c>
      <c r="B296">
        <v>9.1516416778949257</v>
      </c>
      <c r="C296">
        <v>2.9745913743972778</v>
      </c>
      <c r="D296">
        <v>14.332527612764382</v>
      </c>
      <c r="E296">
        <v>9.1516416778949257</v>
      </c>
      <c r="F296">
        <v>2.9745913743972778</v>
      </c>
      <c r="G296">
        <v>14.332527612764382</v>
      </c>
      <c r="H296">
        <v>26.458760665056587</v>
      </c>
    </row>
    <row r="297" spans="1:8" x14ac:dyDescent="0.55000000000000004">
      <c r="A297">
        <v>294</v>
      </c>
      <c r="B297">
        <v>8.9462995491646531</v>
      </c>
      <c r="C297">
        <v>4.9757362008094788</v>
      </c>
      <c r="D297">
        <v>11.431785170269517</v>
      </c>
      <c r="E297">
        <v>8.9462995491646531</v>
      </c>
      <c r="F297">
        <v>4.9757362008094788</v>
      </c>
      <c r="G297">
        <v>11.431785170269517</v>
      </c>
      <c r="H297">
        <v>25.353820920243649</v>
      </c>
    </row>
    <row r="298" spans="1:8" x14ac:dyDescent="0.55000000000000004">
      <c r="A298">
        <v>295</v>
      </c>
      <c r="B298">
        <v>10.141014471450564</v>
      </c>
      <c r="C298">
        <v>2.8792130947113037</v>
      </c>
      <c r="D298">
        <v>11.807543884472722</v>
      </c>
      <c r="E298">
        <v>10.141014471450564</v>
      </c>
      <c r="F298">
        <v>2.8792130947113037</v>
      </c>
      <c r="G298">
        <v>11.807543884472722</v>
      </c>
      <c r="H298">
        <v>24.827771450634589</v>
      </c>
    </row>
    <row r="299" spans="1:8" x14ac:dyDescent="0.55000000000000004">
      <c r="A299">
        <v>296</v>
      </c>
      <c r="B299">
        <v>9.9068352360920322</v>
      </c>
      <c r="C299">
        <v>2.19438236951828</v>
      </c>
      <c r="D299">
        <v>11.477926199772671</v>
      </c>
      <c r="E299">
        <v>9.9068352360920322</v>
      </c>
      <c r="F299">
        <v>2.19438236951828</v>
      </c>
      <c r="G299">
        <v>11.477926199772671</v>
      </c>
      <c r="H299">
        <v>23.579143805382984</v>
      </c>
    </row>
    <row r="300" spans="1:8" x14ac:dyDescent="0.55000000000000004">
      <c r="A300">
        <v>297</v>
      </c>
      <c r="B300">
        <v>11.141127275700422</v>
      </c>
      <c r="C300">
        <v>3.2280858755111694</v>
      </c>
      <c r="D300">
        <v>11.202186466114462</v>
      </c>
      <c r="E300">
        <v>11.141127275700422</v>
      </c>
      <c r="F300">
        <v>3.2280858755111694</v>
      </c>
      <c r="G300">
        <v>11.202186466114462</v>
      </c>
      <c r="H300">
        <v>25.571399617326051</v>
      </c>
    </row>
    <row r="301" spans="1:8" x14ac:dyDescent="0.55000000000000004">
      <c r="A301">
        <v>298</v>
      </c>
      <c r="B301">
        <v>9.2140469914117382</v>
      </c>
      <c r="C301">
        <v>2.0871952176094055</v>
      </c>
      <c r="D301">
        <v>11.202844958720974</v>
      </c>
      <c r="E301">
        <v>9.2140469914117382</v>
      </c>
      <c r="F301">
        <v>2.0871952176094055</v>
      </c>
      <c r="G301">
        <v>11.202844958720974</v>
      </c>
      <c r="H301">
        <v>22.504087167742117</v>
      </c>
    </row>
    <row r="302" spans="1:8" x14ac:dyDescent="0.55000000000000004">
      <c r="A302">
        <v>299</v>
      </c>
      <c r="B302">
        <v>9.936398794928504</v>
      </c>
      <c r="C302">
        <v>3.3129348754882813</v>
      </c>
      <c r="D302">
        <v>11.796439905978639</v>
      </c>
      <c r="E302">
        <v>9.936398794928504</v>
      </c>
      <c r="F302">
        <v>3.3129348754882813</v>
      </c>
      <c r="G302">
        <v>11.796439905978639</v>
      </c>
      <c r="H302">
        <v>25.045773576395426</v>
      </c>
    </row>
    <row r="303" spans="1:8" x14ac:dyDescent="0.55000000000000004">
      <c r="A303">
        <v>300</v>
      </c>
      <c r="B303">
        <v>10.320018513657747</v>
      </c>
      <c r="C303">
        <v>4.7697829604148865</v>
      </c>
      <c r="D303">
        <v>11.248288413301916</v>
      </c>
      <c r="E303">
        <v>10.320018513657747</v>
      </c>
      <c r="F303">
        <v>4.7697829604148865</v>
      </c>
      <c r="G303">
        <v>11.248288413301916</v>
      </c>
      <c r="H303">
        <v>26.338089887374551</v>
      </c>
    </row>
    <row r="304" spans="1:8" x14ac:dyDescent="0.55000000000000004">
      <c r="A304">
        <v>301</v>
      </c>
      <c r="B304">
        <v>9.1615879447460458</v>
      </c>
      <c r="C304">
        <v>3.2232757806777954</v>
      </c>
      <c r="D304">
        <v>11.387459355695499</v>
      </c>
      <c r="E304">
        <v>9.1615879447460458</v>
      </c>
      <c r="F304">
        <v>3.2232757806777954</v>
      </c>
      <c r="G304">
        <v>11.387459355695499</v>
      </c>
      <c r="H304">
        <v>23.772323081119339</v>
      </c>
    </row>
    <row r="305" spans="1:8" x14ac:dyDescent="0.55000000000000004">
      <c r="A305">
        <v>302</v>
      </c>
      <c r="B305">
        <v>10.530986364184496</v>
      </c>
      <c r="C305">
        <v>2.1299095749855042</v>
      </c>
      <c r="D305">
        <v>14.069395629619578</v>
      </c>
      <c r="E305">
        <v>10.530986364184496</v>
      </c>
      <c r="F305">
        <v>2.1299095749855042</v>
      </c>
      <c r="G305">
        <v>14.069395629619578</v>
      </c>
      <c r="H305">
        <v>26.730291568789578</v>
      </c>
    </row>
    <row r="306" spans="1:8" x14ac:dyDescent="0.55000000000000004">
      <c r="A306">
        <v>303</v>
      </c>
      <c r="B306">
        <v>12.335303824797933</v>
      </c>
      <c r="C306">
        <v>3.7629187107086182</v>
      </c>
      <c r="D306">
        <v>10.515231010882983</v>
      </c>
      <c r="E306">
        <v>12.335303824797933</v>
      </c>
      <c r="F306">
        <v>3.7629187107086182</v>
      </c>
      <c r="G306">
        <v>10.515231010882983</v>
      </c>
      <c r="H306">
        <v>26.613453546389536</v>
      </c>
    </row>
    <row r="307" spans="1:8" x14ac:dyDescent="0.55000000000000004">
      <c r="A307">
        <v>304</v>
      </c>
      <c r="B307">
        <v>12.450133665125511</v>
      </c>
      <c r="C307">
        <v>2.5818893313407898</v>
      </c>
      <c r="D307">
        <v>12.160062159190959</v>
      </c>
      <c r="E307">
        <v>12.450133665125511</v>
      </c>
      <c r="F307">
        <v>2.5818893313407898</v>
      </c>
      <c r="G307">
        <v>12.160062159190959</v>
      </c>
      <c r="H307">
        <v>27.19208515565726</v>
      </c>
    </row>
    <row r="308" spans="1:8" x14ac:dyDescent="0.55000000000000004">
      <c r="A308">
        <v>305</v>
      </c>
      <c r="B308">
        <v>9.318851808396353</v>
      </c>
      <c r="C308">
        <v>2.5813158750534058</v>
      </c>
      <c r="D308">
        <v>11.738284507491242</v>
      </c>
      <c r="E308">
        <v>9.318851808396353</v>
      </c>
      <c r="F308">
        <v>2.5813158750534058</v>
      </c>
      <c r="G308">
        <v>11.738284507491242</v>
      </c>
      <c r="H308">
        <v>23.638452190941003</v>
      </c>
    </row>
    <row r="309" spans="1:8" x14ac:dyDescent="0.55000000000000004">
      <c r="A309">
        <v>306</v>
      </c>
      <c r="B309">
        <v>8.8554816756585861</v>
      </c>
      <c r="C309">
        <v>2.0202000737190247</v>
      </c>
      <c r="D309">
        <v>11.833601744105723</v>
      </c>
      <c r="E309">
        <v>8.8554816756585861</v>
      </c>
      <c r="F309">
        <v>2.0202000737190247</v>
      </c>
      <c r="G309">
        <v>11.833601744105723</v>
      </c>
      <c r="H309">
        <v>22.709283493483333</v>
      </c>
    </row>
    <row r="310" spans="1:8" x14ac:dyDescent="0.55000000000000004">
      <c r="A310">
        <v>307</v>
      </c>
      <c r="B310">
        <v>10.236581790992595</v>
      </c>
      <c r="C310">
        <v>2.9260029792785645</v>
      </c>
      <c r="D310">
        <v>12.437278466380256</v>
      </c>
      <c r="E310">
        <v>10.236581790992595</v>
      </c>
      <c r="F310">
        <v>2.9260029792785645</v>
      </c>
      <c r="G310">
        <v>12.437278466380256</v>
      </c>
      <c r="H310">
        <v>25.599863236651416</v>
      </c>
    </row>
    <row r="311" spans="1:8" x14ac:dyDescent="0.55000000000000004">
      <c r="A311">
        <v>308</v>
      </c>
      <c r="B311">
        <v>8.8714010611808956</v>
      </c>
      <c r="C311">
        <v>4.00356525182724</v>
      </c>
      <c r="D311">
        <v>11.016981539405858</v>
      </c>
      <c r="E311">
        <v>8.8714010611808956</v>
      </c>
      <c r="F311">
        <v>4.00356525182724</v>
      </c>
      <c r="G311">
        <v>11.016981539405858</v>
      </c>
      <c r="H311">
        <v>23.891947852413992</v>
      </c>
    </row>
    <row r="312" spans="1:8" x14ac:dyDescent="0.55000000000000004">
      <c r="A312">
        <v>309</v>
      </c>
      <c r="B312">
        <v>10.959636499466434</v>
      </c>
      <c r="C312">
        <v>4.1723843812942505</v>
      </c>
      <c r="D312">
        <v>14.297434075418089</v>
      </c>
      <c r="E312">
        <v>10.959636499466434</v>
      </c>
      <c r="F312">
        <v>4.1723843812942505</v>
      </c>
      <c r="G312">
        <v>14.297434075418089</v>
      </c>
      <c r="H312">
        <v>29.429454956178773</v>
      </c>
    </row>
    <row r="313" spans="1:8" x14ac:dyDescent="0.55000000000000004">
      <c r="A313">
        <v>310</v>
      </c>
      <c r="B313">
        <v>10.620437112502259</v>
      </c>
      <c r="C313">
        <v>3.950754702091217</v>
      </c>
      <c r="D313">
        <v>13.32094568166165</v>
      </c>
      <c r="E313">
        <v>10.620437112502259</v>
      </c>
      <c r="F313">
        <v>3.950754702091217</v>
      </c>
      <c r="G313">
        <v>13.32094568166165</v>
      </c>
      <c r="H313">
        <v>27.892137496255124</v>
      </c>
    </row>
    <row r="314" spans="1:8" x14ac:dyDescent="0.55000000000000004">
      <c r="A314">
        <v>311</v>
      </c>
      <c r="B314">
        <v>9.2841404205092726</v>
      </c>
      <c r="C314">
        <v>4.0371119976043701</v>
      </c>
      <c r="D314">
        <v>13.673178807872112</v>
      </c>
      <c r="E314">
        <v>9.2841404205092726</v>
      </c>
      <c r="F314">
        <v>4.0371119976043701</v>
      </c>
      <c r="G314">
        <v>13.673178807872112</v>
      </c>
      <c r="H314">
        <v>26.994431225985757</v>
      </c>
    </row>
    <row r="315" spans="1:8" x14ac:dyDescent="0.55000000000000004">
      <c r="A315">
        <v>312</v>
      </c>
      <c r="B315">
        <v>8.8664918560647727</v>
      </c>
      <c r="C315">
        <v>2.8793541789054871</v>
      </c>
      <c r="D315">
        <v>12.738098705325477</v>
      </c>
      <c r="E315">
        <v>8.8664918560647727</v>
      </c>
      <c r="F315">
        <v>2.8793541789054871</v>
      </c>
      <c r="G315">
        <v>12.738098705325477</v>
      </c>
      <c r="H315">
        <v>24.483944740295737</v>
      </c>
    </row>
    <row r="316" spans="1:8" x14ac:dyDescent="0.55000000000000004">
      <c r="A316">
        <v>313</v>
      </c>
      <c r="B316">
        <v>10.010149818796361</v>
      </c>
      <c r="C316">
        <v>4.1313079595565796</v>
      </c>
      <c r="D316">
        <v>10.979413258499694</v>
      </c>
      <c r="E316">
        <v>10.010149818796361</v>
      </c>
      <c r="F316">
        <v>4.1313079595565796</v>
      </c>
      <c r="G316">
        <v>10.979413258499694</v>
      </c>
      <c r="H316">
        <v>25.120871036852634</v>
      </c>
    </row>
    <row r="317" spans="1:8" x14ac:dyDescent="0.55000000000000004">
      <c r="A317">
        <v>314</v>
      </c>
      <c r="B317">
        <v>11.350283871144679</v>
      </c>
      <c r="C317">
        <v>2.9687536358833313</v>
      </c>
      <c r="D317">
        <v>12.706329557047077</v>
      </c>
      <c r="E317">
        <v>11.350283871144679</v>
      </c>
      <c r="F317">
        <v>2.9687536358833313</v>
      </c>
      <c r="G317">
        <v>12.706329557047077</v>
      </c>
      <c r="H317">
        <v>27.025367064075088</v>
      </c>
    </row>
    <row r="318" spans="1:8" x14ac:dyDescent="0.55000000000000004">
      <c r="A318">
        <v>315</v>
      </c>
      <c r="B318">
        <v>11.595411969949742</v>
      </c>
      <c r="C318">
        <v>2.2598810195922852</v>
      </c>
      <c r="D318">
        <v>12.273750552685149</v>
      </c>
      <c r="E318">
        <v>11.595411969949742</v>
      </c>
      <c r="F318">
        <v>2.2598810195922852</v>
      </c>
      <c r="G318">
        <v>12.273750552685149</v>
      </c>
      <c r="H318">
        <v>26.129043542227176</v>
      </c>
    </row>
    <row r="319" spans="1:8" x14ac:dyDescent="0.55000000000000004">
      <c r="A319">
        <v>316</v>
      </c>
      <c r="B319">
        <v>8.9969256417534709</v>
      </c>
      <c r="C319">
        <v>3.978604257106781</v>
      </c>
      <c r="D319">
        <v>12.246931812296669</v>
      </c>
      <c r="E319">
        <v>8.9969256417534709</v>
      </c>
      <c r="F319">
        <v>3.978604257106781</v>
      </c>
      <c r="G319">
        <v>12.246931812296669</v>
      </c>
      <c r="H319">
        <v>25.222461711156921</v>
      </c>
    </row>
    <row r="320" spans="1:8" x14ac:dyDescent="0.55000000000000004">
      <c r="A320">
        <v>317</v>
      </c>
      <c r="B320">
        <v>10.800513823913624</v>
      </c>
      <c r="C320">
        <v>3.6231867074966431</v>
      </c>
      <c r="D320">
        <v>11.927959054146068</v>
      </c>
      <c r="E320">
        <v>10.800513823913624</v>
      </c>
      <c r="F320">
        <v>3.6231867074966431</v>
      </c>
      <c r="G320">
        <v>11.927959054146068</v>
      </c>
      <c r="H320">
        <v>26.351659585556334</v>
      </c>
    </row>
    <row r="321" spans="1:8" x14ac:dyDescent="0.55000000000000004">
      <c r="A321">
        <v>318</v>
      </c>
      <c r="B321">
        <v>11.131010480754695</v>
      </c>
      <c r="C321">
        <v>2.3039942383766174</v>
      </c>
      <c r="D321">
        <v>11.477056834310945</v>
      </c>
      <c r="E321">
        <v>11.131010480754695</v>
      </c>
      <c r="F321">
        <v>2.3039942383766174</v>
      </c>
      <c r="G321">
        <v>11.477056834310945</v>
      </c>
      <c r="H321">
        <v>24.912061553442257</v>
      </c>
    </row>
    <row r="322" spans="1:8" x14ac:dyDescent="0.55000000000000004">
      <c r="A322">
        <v>319</v>
      </c>
      <c r="B322">
        <v>10.442650942495133</v>
      </c>
      <c r="C322">
        <v>2.8272812366485596</v>
      </c>
      <c r="D322">
        <v>12.239999088671047</v>
      </c>
      <c r="E322">
        <v>10.442650942495133</v>
      </c>
      <c r="F322">
        <v>2.8272812366485596</v>
      </c>
      <c r="G322">
        <v>12.239999088671047</v>
      </c>
      <c r="H322">
        <v>25.509931267814739</v>
      </c>
    </row>
    <row r="323" spans="1:8" x14ac:dyDescent="0.55000000000000004">
      <c r="A323">
        <v>320</v>
      </c>
      <c r="B323">
        <v>9.3504509940695559</v>
      </c>
      <c r="C323">
        <v>4.1985933184623718</v>
      </c>
      <c r="D323">
        <v>11.359048650745132</v>
      </c>
      <c r="E323">
        <v>9.3504509940695559</v>
      </c>
      <c r="F323">
        <v>4.1985933184623718</v>
      </c>
      <c r="G323">
        <v>11.359048650745132</v>
      </c>
      <c r="H323">
        <v>24.90809296327706</v>
      </c>
    </row>
    <row r="324" spans="1:8" x14ac:dyDescent="0.55000000000000004">
      <c r="A324">
        <v>321</v>
      </c>
      <c r="B324">
        <v>10.414142882357375</v>
      </c>
      <c r="C324">
        <v>3.3590191602706909</v>
      </c>
      <c r="D324">
        <v>13.557396308387954</v>
      </c>
      <c r="E324">
        <v>10.414142882357375</v>
      </c>
      <c r="F324">
        <v>3.3590191602706909</v>
      </c>
      <c r="G324">
        <v>13.557396308387954</v>
      </c>
      <c r="H324">
        <v>27.33055835101602</v>
      </c>
    </row>
    <row r="325" spans="1:8" x14ac:dyDescent="0.55000000000000004">
      <c r="A325">
        <v>322</v>
      </c>
      <c r="B325">
        <v>10.145360366293746</v>
      </c>
      <c r="C325">
        <v>2.4470160603523254</v>
      </c>
      <c r="D325">
        <v>12.335627464816369</v>
      </c>
      <c r="E325">
        <v>10.145360366293746</v>
      </c>
      <c r="F325">
        <v>2.4470160603523254</v>
      </c>
      <c r="G325">
        <v>12.335627464816369</v>
      </c>
      <c r="H325">
        <v>24.928003891462438</v>
      </c>
    </row>
    <row r="326" spans="1:8" x14ac:dyDescent="0.55000000000000004">
      <c r="A326">
        <v>323</v>
      </c>
      <c r="B326">
        <v>9.7737661317151865</v>
      </c>
      <c r="C326">
        <v>3.9322447776794434</v>
      </c>
      <c r="D326">
        <v>12.851353534110418</v>
      </c>
      <c r="E326">
        <v>9.7737661317151865</v>
      </c>
      <c r="F326">
        <v>3.9322447776794434</v>
      </c>
      <c r="G326">
        <v>12.851353534110418</v>
      </c>
      <c r="H326">
        <v>26.557364443505048</v>
      </c>
    </row>
    <row r="327" spans="1:8" x14ac:dyDescent="0.55000000000000004">
      <c r="A327">
        <v>324</v>
      </c>
      <c r="B327">
        <v>9.7152186641182432</v>
      </c>
      <c r="C327">
        <v>4.5176538825035095</v>
      </c>
      <c r="D327">
        <v>11.351656078119976</v>
      </c>
      <c r="E327">
        <v>9.7152186641182432</v>
      </c>
      <c r="F327">
        <v>4.5176538825035095</v>
      </c>
      <c r="G327">
        <v>11.351656078119976</v>
      </c>
      <c r="H327">
        <v>25.584528624741729</v>
      </c>
    </row>
    <row r="328" spans="1:8" x14ac:dyDescent="0.55000000000000004">
      <c r="A328">
        <v>325</v>
      </c>
      <c r="B328">
        <v>9.4348700285219174</v>
      </c>
      <c r="C328">
        <v>4.8613272905349731</v>
      </c>
      <c r="D328">
        <v>13.628469878948513</v>
      </c>
      <c r="E328">
        <v>9.4348700285219174</v>
      </c>
      <c r="F328">
        <v>4.8613272905349731</v>
      </c>
      <c r="G328">
        <v>13.628469878948513</v>
      </c>
      <c r="H328">
        <v>27.924667198005402</v>
      </c>
    </row>
    <row r="329" spans="1:8" x14ac:dyDescent="0.55000000000000004">
      <c r="A329">
        <v>326</v>
      </c>
      <c r="B329">
        <v>10.954431147433018</v>
      </c>
      <c r="C329">
        <v>2.9772258400917053</v>
      </c>
      <c r="D329">
        <v>10.418955556037357</v>
      </c>
      <c r="E329">
        <v>10.954431147433018</v>
      </c>
      <c r="F329">
        <v>2.9772258400917053</v>
      </c>
      <c r="G329">
        <v>10.418955556037357</v>
      </c>
      <c r="H329">
        <v>24.350612543562079</v>
      </c>
    </row>
    <row r="330" spans="1:8" x14ac:dyDescent="0.55000000000000004">
      <c r="A330">
        <v>327</v>
      </c>
      <c r="B330">
        <v>10.143946154985382</v>
      </c>
      <c r="C330">
        <v>4.3682897090911865</v>
      </c>
      <c r="D330">
        <v>11.476174641687606</v>
      </c>
      <c r="E330">
        <v>10.143946154985382</v>
      </c>
      <c r="F330">
        <v>4.3682897090911865</v>
      </c>
      <c r="G330">
        <v>11.476174641687606</v>
      </c>
      <c r="H330">
        <v>25.988410505764175</v>
      </c>
    </row>
    <row r="331" spans="1:8" x14ac:dyDescent="0.55000000000000004">
      <c r="A331">
        <v>328</v>
      </c>
      <c r="B331">
        <v>10.590709388093121</v>
      </c>
      <c r="C331">
        <v>4.6982981562614441</v>
      </c>
      <c r="D331">
        <v>13.041365954308068</v>
      </c>
      <c r="E331">
        <v>10.590709388093121</v>
      </c>
      <c r="F331">
        <v>4.6982981562614441</v>
      </c>
      <c r="G331">
        <v>13.041365954308068</v>
      </c>
      <c r="H331">
        <v>28.330373498662631</v>
      </c>
    </row>
    <row r="332" spans="1:8" x14ac:dyDescent="0.55000000000000004">
      <c r="A332">
        <v>329</v>
      </c>
      <c r="B332">
        <v>7.1599411998694578</v>
      </c>
      <c r="C332">
        <v>3.4797815084457397</v>
      </c>
      <c r="D332">
        <v>10.861634146029333</v>
      </c>
      <c r="E332">
        <v>7.1599411998694578</v>
      </c>
      <c r="F332">
        <v>3.4797815084457397</v>
      </c>
      <c r="G332">
        <v>10.861634146029333</v>
      </c>
      <c r="H332">
        <v>21.501356854344529</v>
      </c>
    </row>
    <row r="333" spans="1:8" x14ac:dyDescent="0.55000000000000004">
      <c r="A333">
        <v>330</v>
      </c>
      <c r="B333">
        <v>11.169590495786462</v>
      </c>
      <c r="C333">
        <v>2.1410225033760071</v>
      </c>
      <c r="D333">
        <v>12.595673425704476</v>
      </c>
      <c r="E333">
        <v>11.169590495786462</v>
      </c>
      <c r="F333">
        <v>2.1410225033760071</v>
      </c>
      <c r="G333">
        <v>12.595673425704476</v>
      </c>
      <c r="H333">
        <v>25.906286424866945</v>
      </c>
    </row>
    <row r="334" spans="1:8" x14ac:dyDescent="0.55000000000000004">
      <c r="A334">
        <v>331</v>
      </c>
      <c r="B334">
        <v>10.034894587639226</v>
      </c>
      <c r="C334">
        <v>2.9201450347900391</v>
      </c>
      <c r="D334">
        <v>11.354327290129897</v>
      </c>
      <c r="E334">
        <v>10.034894587639226</v>
      </c>
      <c r="F334">
        <v>2.9201450347900391</v>
      </c>
      <c r="G334">
        <v>11.354327290129897</v>
      </c>
      <c r="H334">
        <v>24.309366912559163</v>
      </c>
    </row>
    <row r="335" spans="1:8" x14ac:dyDescent="0.55000000000000004">
      <c r="A335">
        <v>332</v>
      </c>
      <c r="B335">
        <v>9.1579666856880575</v>
      </c>
      <c r="C335">
        <v>4.7403430342674255</v>
      </c>
      <c r="D335">
        <v>10.992706523518683</v>
      </c>
      <c r="E335">
        <v>9.1579666856880575</v>
      </c>
      <c r="F335">
        <v>4.7403430342674255</v>
      </c>
      <c r="G335">
        <v>10.992706523518683</v>
      </c>
      <c r="H335">
        <v>24.891016243474166</v>
      </c>
    </row>
    <row r="336" spans="1:8" x14ac:dyDescent="0.55000000000000004">
      <c r="A336">
        <v>333</v>
      </c>
      <c r="B336">
        <v>10.136935610574019</v>
      </c>
      <c r="C336">
        <v>3.1568256616592407</v>
      </c>
      <c r="D336">
        <v>13.425134853050812</v>
      </c>
      <c r="E336">
        <v>10.136935610574019</v>
      </c>
      <c r="F336">
        <v>3.1568256616592407</v>
      </c>
      <c r="G336">
        <v>13.425134853050812</v>
      </c>
      <c r="H336">
        <v>26.718896125284072</v>
      </c>
    </row>
    <row r="337" spans="1:8" x14ac:dyDescent="0.55000000000000004">
      <c r="A337">
        <v>334</v>
      </c>
      <c r="B337">
        <v>11.283378063566264</v>
      </c>
      <c r="C337">
        <v>3.1799221634864807</v>
      </c>
      <c r="D337">
        <v>10.450093619886571</v>
      </c>
      <c r="E337">
        <v>11.283378063566264</v>
      </c>
      <c r="F337">
        <v>3.1799221634864807</v>
      </c>
      <c r="G337">
        <v>10.450093619886571</v>
      </c>
      <c r="H337">
        <v>24.913393846939314</v>
      </c>
    </row>
    <row r="338" spans="1:8" x14ac:dyDescent="0.55000000000000004">
      <c r="A338">
        <v>335</v>
      </c>
      <c r="B338">
        <v>10.129486412795046</v>
      </c>
      <c r="C338">
        <v>4.504375696182251</v>
      </c>
      <c r="D338">
        <v>12.837719311561793</v>
      </c>
      <c r="E338">
        <v>10.129486412795046</v>
      </c>
      <c r="F338">
        <v>4.504375696182251</v>
      </c>
      <c r="G338">
        <v>12.837719311561793</v>
      </c>
      <c r="H338">
        <v>27.471581420539088</v>
      </c>
    </row>
    <row r="339" spans="1:8" x14ac:dyDescent="0.55000000000000004">
      <c r="A339">
        <v>336</v>
      </c>
      <c r="B339">
        <v>9.5235753774339482</v>
      </c>
      <c r="C339">
        <v>4.0840350985527039</v>
      </c>
      <c r="D339">
        <v>13.605089127096056</v>
      </c>
      <c r="E339">
        <v>9.5235753774339482</v>
      </c>
      <c r="F339">
        <v>4.0840350985527039</v>
      </c>
      <c r="G339">
        <v>13.605089127096056</v>
      </c>
      <c r="H339">
        <v>27.212699603082708</v>
      </c>
    </row>
    <row r="340" spans="1:8" x14ac:dyDescent="0.55000000000000004">
      <c r="A340">
        <v>337</v>
      </c>
      <c r="B340">
        <v>10.20000605655277</v>
      </c>
      <c r="C340">
        <v>4.9433020353317261</v>
      </c>
      <c r="D340">
        <v>13.507867404689597</v>
      </c>
      <c r="E340">
        <v>10.20000605655277</v>
      </c>
      <c r="F340">
        <v>4.9433020353317261</v>
      </c>
      <c r="G340">
        <v>13.507867404689597</v>
      </c>
      <c r="H340">
        <v>28.651175496574091</v>
      </c>
    </row>
    <row r="341" spans="1:8" x14ac:dyDescent="0.55000000000000004">
      <c r="A341">
        <v>338</v>
      </c>
      <c r="B341">
        <v>7.8803597802537393</v>
      </c>
      <c r="C341">
        <v>3.4086831212043762</v>
      </c>
      <c r="D341">
        <v>11.618677751850923</v>
      </c>
      <c r="E341">
        <v>7.8803597802537393</v>
      </c>
      <c r="F341">
        <v>3.4086831212043762</v>
      </c>
      <c r="G341">
        <v>11.618677751850923</v>
      </c>
      <c r="H341">
        <v>22.907720653309038</v>
      </c>
    </row>
    <row r="342" spans="1:8" x14ac:dyDescent="0.55000000000000004">
      <c r="A342">
        <v>339</v>
      </c>
      <c r="B342">
        <v>11.39498062026216</v>
      </c>
      <c r="C342">
        <v>3.0600075721740723</v>
      </c>
      <c r="D342">
        <v>10.71994292735026</v>
      </c>
      <c r="E342">
        <v>11.39498062026216</v>
      </c>
      <c r="F342">
        <v>3.0600075721740723</v>
      </c>
      <c r="G342">
        <v>10.71994292735026</v>
      </c>
      <c r="H342">
        <v>25.174931119786493</v>
      </c>
    </row>
    <row r="343" spans="1:8" x14ac:dyDescent="0.55000000000000004">
      <c r="A343">
        <v>340</v>
      </c>
      <c r="B343">
        <v>9.0744695938184243</v>
      </c>
      <c r="C343">
        <v>4.5631756186485291</v>
      </c>
      <c r="D343">
        <v>13.069453473116049</v>
      </c>
      <c r="E343">
        <v>9.0744695938184243</v>
      </c>
      <c r="F343">
        <v>4.5631756186485291</v>
      </c>
      <c r="G343">
        <v>13.069453473116049</v>
      </c>
      <c r="H343">
        <v>26.707098685583002</v>
      </c>
    </row>
    <row r="344" spans="1:8" x14ac:dyDescent="0.55000000000000004">
      <c r="A344">
        <v>341</v>
      </c>
      <c r="B344">
        <v>9.5856210681152767</v>
      </c>
      <c r="C344">
        <v>2.2640763521194458</v>
      </c>
      <c r="D344">
        <v>10.118036374547202</v>
      </c>
      <c r="E344">
        <v>9.5856210681152767</v>
      </c>
      <c r="F344">
        <v>2.2640763521194458</v>
      </c>
      <c r="G344">
        <v>10.118036374547202</v>
      </c>
      <c r="H344">
        <v>21.967733794781925</v>
      </c>
    </row>
    <row r="345" spans="1:8" x14ac:dyDescent="0.55000000000000004">
      <c r="A345">
        <v>342</v>
      </c>
      <c r="B345">
        <v>9.8753130377608827</v>
      </c>
      <c r="C345">
        <v>2.0434308648109436</v>
      </c>
      <c r="D345">
        <v>12.232703762370774</v>
      </c>
      <c r="E345">
        <v>9.8753130377608827</v>
      </c>
      <c r="F345">
        <v>2.0434308648109436</v>
      </c>
      <c r="G345">
        <v>12.232703762370774</v>
      </c>
      <c r="H345">
        <v>24.151447664942602</v>
      </c>
    </row>
    <row r="346" spans="1:8" x14ac:dyDescent="0.55000000000000004">
      <c r="A346">
        <v>343</v>
      </c>
      <c r="B346">
        <v>9.1592104564924206</v>
      </c>
      <c r="C346">
        <v>4.1891524791717529</v>
      </c>
      <c r="D346">
        <v>11.724481389965888</v>
      </c>
      <c r="E346">
        <v>9.1592104564924206</v>
      </c>
      <c r="F346">
        <v>4.1891524791717529</v>
      </c>
      <c r="G346">
        <v>11.724481389965888</v>
      </c>
      <c r="H346">
        <v>25.072844325630061</v>
      </c>
    </row>
    <row r="347" spans="1:8" x14ac:dyDescent="0.55000000000000004">
      <c r="A347">
        <v>344</v>
      </c>
      <c r="B347">
        <v>10.800470804780101</v>
      </c>
      <c r="C347">
        <v>2.1082455515861511</v>
      </c>
      <c r="D347">
        <v>12.059682067136608</v>
      </c>
      <c r="E347">
        <v>10.800470804780101</v>
      </c>
      <c r="F347">
        <v>2.1082455515861511</v>
      </c>
      <c r="G347">
        <v>12.059682067136608</v>
      </c>
      <c r="H347">
        <v>24.968398423502862</v>
      </c>
    </row>
    <row r="348" spans="1:8" x14ac:dyDescent="0.55000000000000004">
      <c r="A348">
        <v>345</v>
      </c>
      <c r="B348">
        <v>10.54625213903469</v>
      </c>
      <c r="C348">
        <v>3.9336627721786499</v>
      </c>
      <c r="D348">
        <v>12.12920194319025</v>
      </c>
      <c r="E348">
        <v>10.54625213903469</v>
      </c>
      <c r="F348">
        <v>3.9336627721786499</v>
      </c>
      <c r="G348">
        <v>12.12920194319025</v>
      </c>
      <c r="H348">
        <v>26.609116854403588</v>
      </c>
    </row>
    <row r="349" spans="1:8" x14ac:dyDescent="0.55000000000000004">
      <c r="A349">
        <v>346</v>
      </c>
      <c r="B349">
        <v>11.574421388335562</v>
      </c>
      <c r="C349">
        <v>2.7797830700874329</v>
      </c>
      <c r="D349">
        <v>10.460216410773098</v>
      </c>
      <c r="E349">
        <v>11.574421388335562</v>
      </c>
      <c r="F349">
        <v>2.7797830700874329</v>
      </c>
      <c r="G349">
        <v>10.460216410773098</v>
      </c>
      <c r="H349">
        <v>24.814420869196091</v>
      </c>
    </row>
    <row r="350" spans="1:8" x14ac:dyDescent="0.55000000000000004">
      <c r="A350">
        <v>347</v>
      </c>
      <c r="B350">
        <v>11.464140021900286</v>
      </c>
      <c r="C350">
        <v>3.547633171081543</v>
      </c>
      <c r="D350">
        <v>13.6969918420056</v>
      </c>
      <c r="E350">
        <v>11.464140021900286</v>
      </c>
      <c r="F350">
        <v>3.547633171081543</v>
      </c>
      <c r="G350">
        <v>13.6969918420056</v>
      </c>
      <c r="H350">
        <v>28.708765034987429</v>
      </c>
    </row>
    <row r="351" spans="1:8" x14ac:dyDescent="0.55000000000000004">
      <c r="A351">
        <v>348</v>
      </c>
      <c r="B351">
        <v>10.271269407232692</v>
      </c>
      <c r="C351">
        <v>3.1995305418968201</v>
      </c>
      <c r="D351">
        <v>12.984030908191421</v>
      </c>
      <c r="E351">
        <v>10.271269407232692</v>
      </c>
      <c r="F351">
        <v>3.1995305418968201</v>
      </c>
      <c r="G351">
        <v>12.984030908191421</v>
      </c>
      <c r="H351">
        <v>26.454830857320935</v>
      </c>
    </row>
    <row r="352" spans="1:8" x14ac:dyDescent="0.55000000000000004">
      <c r="A352">
        <v>349</v>
      </c>
      <c r="B352">
        <v>9.7511556986473877</v>
      </c>
      <c r="C352">
        <v>3.9218488931655884</v>
      </c>
      <c r="D352">
        <v>10.386655089407832</v>
      </c>
      <c r="E352">
        <v>9.7511556986473877</v>
      </c>
      <c r="F352">
        <v>3.9218488931655884</v>
      </c>
      <c r="G352">
        <v>10.386655089407832</v>
      </c>
      <c r="H352">
        <v>24.059659681220808</v>
      </c>
    </row>
    <row r="353" spans="1:8" x14ac:dyDescent="0.55000000000000004">
      <c r="A353">
        <v>350</v>
      </c>
      <c r="B353">
        <v>9.8160878154459414</v>
      </c>
      <c r="C353">
        <v>2.120974600315094</v>
      </c>
      <c r="D353">
        <v>12.681056262601341</v>
      </c>
      <c r="E353">
        <v>9.8160878154459414</v>
      </c>
      <c r="F353">
        <v>2.120974600315094</v>
      </c>
      <c r="G353">
        <v>12.681056262601341</v>
      </c>
      <c r="H353">
        <v>24.618118678362379</v>
      </c>
    </row>
    <row r="354" spans="1:8" x14ac:dyDescent="0.55000000000000004">
      <c r="A354">
        <v>351</v>
      </c>
      <c r="B354">
        <v>9.8500401769222403</v>
      </c>
      <c r="C354">
        <v>4.9856083393096924</v>
      </c>
      <c r="D354">
        <v>12.895788153891058</v>
      </c>
      <c r="E354">
        <v>9.8500401769222403</v>
      </c>
      <c r="F354">
        <v>4.9856083393096924</v>
      </c>
      <c r="G354">
        <v>12.895788153891058</v>
      </c>
      <c r="H354">
        <v>27.731436670122989</v>
      </c>
    </row>
    <row r="355" spans="1:8" x14ac:dyDescent="0.55000000000000004">
      <c r="A355">
        <v>352</v>
      </c>
      <c r="B355">
        <v>9.5807345245746411</v>
      </c>
      <c r="C355">
        <v>3.0702459216117859</v>
      </c>
      <c r="D355">
        <v>10.965796984322351</v>
      </c>
      <c r="E355">
        <v>9.5807345245746411</v>
      </c>
      <c r="F355">
        <v>3.0702459216117859</v>
      </c>
      <c r="G355">
        <v>10.965796984322351</v>
      </c>
      <c r="H355">
        <v>23.616777430508776</v>
      </c>
    </row>
    <row r="356" spans="1:8" x14ac:dyDescent="0.55000000000000004">
      <c r="A356">
        <v>353</v>
      </c>
      <c r="B356">
        <v>9.9213941078771839</v>
      </c>
      <c r="C356">
        <v>2.8693207502365112</v>
      </c>
      <c r="D356">
        <v>13.139299320328744</v>
      </c>
      <c r="E356">
        <v>9.9213941078771839</v>
      </c>
      <c r="F356">
        <v>2.8693207502365112</v>
      </c>
      <c r="G356">
        <v>13.139299320328744</v>
      </c>
      <c r="H356">
        <v>25.930014178442441</v>
      </c>
    </row>
    <row r="357" spans="1:8" x14ac:dyDescent="0.55000000000000004">
      <c r="A357">
        <v>354</v>
      </c>
      <c r="B357">
        <v>11.67586061810454</v>
      </c>
      <c r="C357">
        <v>2.455982506275177</v>
      </c>
      <c r="D357">
        <v>11.214453729658199</v>
      </c>
      <c r="E357">
        <v>11.67586061810454</v>
      </c>
      <c r="F357">
        <v>2.455982506275177</v>
      </c>
      <c r="G357">
        <v>11.214453729658199</v>
      </c>
      <c r="H357">
        <v>25.346296854037917</v>
      </c>
    </row>
    <row r="358" spans="1:8" x14ac:dyDescent="0.55000000000000004">
      <c r="A358">
        <v>355</v>
      </c>
      <c r="B358">
        <v>12.274809003983295</v>
      </c>
      <c r="C358">
        <v>3.4381976127624512</v>
      </c>
      <c r="D358">
        <v>11.712715131236273</v>
      </c>
      <c r="E358">
        <v>12.274809003983295</v>
      </c>
      <c r="F358">
        <v>3.4381976127624512</v>
      </c>
      <c r="G358">
        <v>11.712715131236273</v>
      </c>
      <c r="H358">
        <v>27.425721747982017</v>
      </c>
    </row>
    <row r="359" spans="1:8" x14ac:dyDescent="0.55000000000000004">
      <c r="A359">
        <v>356</v>
      </c>
      <c r="B359">
        <v>12.020223272784882</v>
      </c>
      <c r="C359">
        <v>3.6596617102622986</v>
      </c>
      <c r="D359">
        <v>11.402318332622416</v>
      </c>
      <c r="E359">
        <v>12.020223272784882</v>
      </c>
      <c r="F359">
        <v>3.6596617102622986</v>
      </c>
      <c r="G359">
        <v>11.402318332622416</v>
      </c>
      <c r="H359">
        <v>27.082203315669595</v>
      </c>
    </row>
    <row r="360" spans="1:8" x14ac:dyDescent="0.55000000000000004">
      <c r="A360">
        <v>357</v>
      </c>
      <c r="B360">
        <v>7.9173491759423404</v>
      </c>
      <c r="C360">
        <v>3.3532878160476685</v>
      </c>
      <c r="D360">
        <v>13.813108524840624</v>
      </c>
      <c r="E360">
        <v>7.9173491759423404</v>
      </c>
      <c r="F360">
        <v>3.3532878160476685</v>
      </c>
      <c r="G360">
        <v>13.813108524840624</v>
      </c>
      <c r="H360">
        <v>25.083745516830632</v>
      </c>
    </row>
    <row r="361" spans="1:8" x14ac:dyDescent="0.55000000000000004">
      <c r="A361">
        <v>358</v>
      </c>
      <c r="B361">
        <v>11.05895106048723</v>
      </c>
      <c r="C361">
        <v>4.8876510262489319</v>
      </c>
      <c r="D361">
        <v>11.207384372648342</v>
      </c>
      <c r="E361">
        <v>11.05895106048723</v>
      </c>
      <c r="F361">
        <v>4.8876510262489319</v>
      </c>
      <c r="G361">
        <v>11.207384372648342</v>
      </c>
      <c r="H361">
        <v>27.153986459384505</v>
      </c>
    </row>
    <row r="362" spans="1:8" x14ac:dyDescent="0.55000000000000004">
      <c r="A362">
        <v>359</v>
      </c>
      <c r="B362">
        <v>8.7164288902280855</v>
      </c>
      <c r="C362">
        <v>4.5661065578460693</v>
      </c>
      <c r="D362">
        <v>11.832766940305923</v>
      </c>
      <c r="E362">
        <v>8.7164288902280855</v>
      </c>
      <c r="F362">
        <v>4.5661065578460693</v>
      </c>
      <c r="G362">
        <v>11.832766940305923</v>
      </c>
      <c r="H362">
        <v>25.11530238838008</v>
      </c>
    </row>
    <row r="363" spans="1:8" x14ac:dyDescent="0.55000000000000004">
      <c r="A363">
        <v>360</v>
      </c>
      <c r="B363">
        <v>8.8169003995942585</v>
      </c>
      <c r="C363">
        <v>2.3162276148796082</v>
      </c>
      <c r="D363">
        <v>13.752769916585629</v>
      </c>
      <c r="E363">
        <v>8.8169003995942585</v>
      </c>
      <c r="F363">
        <v>2.3162276148796082</v>
      </c>
      <c r="G363">
        <v>13.752769916585629</v>
      </c>
      <c r="H363">
        <v>24.885897931059496</v>
      </c>
    </row>
    <row r="364" spans="1:8" x14ac:dyDescent="0.55000000000000004">
      <c r="A364">
        <v>361</v>
      </c>
      <c r="B364">
        <v>9.1928434363246812</v>
      </c>
      <c r="C364">
        <v>2.9031080007553101</v>
      </c>
      <c r="D364">
        <v>13.480124015000872</v>
      </c>
      <c r="E364">
        <v>9.1928434363246812</v>
      </c>
      <c r="F364">
        <v>2.9031080007553101</v>
      </c>
      <c r="G364">
        <v>13.480124015000872</v>
      </c>
      <c r="H364">
        <v>25.576075452080865</v>
      </c>
    </row>
    <row r="365" spans="1:8" x14ac:dyDescent="0.55000000000000004">
      <c r="A365">
        <v>362</v>
      </c>
      <c r="B365">
        <v>9.0689733538058963</v>
      </c>
      <c r="C365">
        <v>2.8108165860176086</v>
      </c>
      <c r="D365">
        <v>10.997183409431123</v>
      </c>
      <c r="E365">
        <v>9.0689733538058963</v>
      </c>
      <c r="F365">
        <v>2.8108165860176086</v>
      </c>
      <c r="G365">
        <v>10.997183409431123</v>
      </c>
      <c r="H365">
        <v>22.876973349254627</v>
      </c>
    </row>
    <row r="366" spans="1:8" x14ac:dyDescent="0.55000000000000004">
      <c r="A366">
        <v>363</v>
      </c>
      <c r="B366">
        <v>9.1008854826999777</v>
      </c>
      <c r="C366">
        <v>3.1462516784667969</v>
      </c>
      <c r="D366">
        <v>11.979952622675258</v>
      </c>
      <c r="E366">
        <v>9.1008854826999777</v>
      </c>
      <c r="F366">
        <v>3.1462516784667969</v>
      </c>
      <c r="G366">
        <v>11.979952622675258</v>
      </c>
      <c r="H366">
        <v>24.227089783842032</v>
      </c>
    </row>
    <row r="367" spans="1:8" x14ac:dyDescent="0.55000000000000004">
      <c r="A367">
        <v>364</v>
      </c>
      <c r="B367">
        <v>9.9610158992331872</v>
      </c>
      <c r="C367">
        <v>2.2506980299949646</v>
      </c>
      <c r="D367">
        <v>11.99489424585347</v>
      </c>
      <c r="E367">
        <v>9.9610158992331872</v>
      </c>
      <c r="F367">
        <v>2.2506980299949646</v>
      </c>
      <c r="G367">
        <v>11.99489424585347</v>
      </c>
      <c r="H367">
        <v>24.20660817508162</v>
      </c>
    </row>
    <row r="368" spans="1:8" x14ac:dyDescent="0.55000000000000004">
      <c r="A368">
        <v>365</v>
      </c>
      <c r="B368">
        <v>9.9560736088430701</v>
      </c>
      <c r="C368">
        <v>2.765912652015686</v>
      </c>
      <c r="D368">
        <v>12.53886323554825</v>
      </c>
      <c r="E368">
        <v>9.9560736088430701</v>
      </c>
      <c r="F368">
        <v>2.765912652015686</v>
      </c>
      <c r="G368">
        <v>12.53886323554825</v>
      </c>
      <c r="H368">
        <v>25.260849496407005</v>
      </c>
    </row>
    <row r="369" spans="1:8" x14ac:dyDescent="0.55000000000000004">
      <c r="A369">
        <v>366</v>
      </c>
      <c r="B369">
        <v>9.5816795281813594</v>
      </c>
      <c r="C369">
        <v>3.2404327988624573</v>
      </c>
      <c r="D369">
        <v>12.627859029491278</v>
      </c>
      <c r="E369">
        <v>9.5816795281813594</v>
      </c>
      <c r="F369">
        <v>3.2404327988624573</v>
      </c>
      <c r="G369">
        <v>12.627859029491278</v>
      </c>
      <c r="H369">
        <v>25.449971356535094</v>
      </c>
    </row>
    <row r="370" spans="1:8" x14ac:dyDescent="0.55000000000000004">
      <c r="A370">
        <v>367</v>
      </c>
      <c r="B370">
        <v>9.7369039324428215</v>
      </c>
      <c r="C370">
        <v>4.2123854160308838</v>
      </c>
      <c r="D370">
        <v>13.667071669715938</v>
      </c>
      <c r="E370">
        <v>9.7369039324428215</v>
      </c>
      <c r="F370">
        <v>4.2123854160308838</v>
      </c>
      <c r="G370">
        <v>13.667071669715938</v>
      </c>
      <c r="H370">
        <v>27.616361018189643</v>
      </c>
    </row>
    <row r="371" spans="1:8" x14ac:dyDescent="0.55000000000000004">
      <c r="A371">
        <v>368</v>
      </c>
      <c r="B371">
        <v>10.636687784716392</v>
      </c>
      <c r="C371">
        <v>2.7392570376396179</v>
      </c>
      <c r="D371">
        <v>12.801947976012132</v>
      </c>
      <c r="E371">
        <v>10.636687784716392</v>
      </c>
      <c r="F371">
        <v>2.7392570376396179</v>
      </c>
      <c r="G371">
        <v>12.801947976012132</v>
      </c>
      <c r="H371">
        <v>26.177892798368141</v>
      </c>
    </row>
    <row r="372" spans="1:8" x14ac:dyDescent="0.55000000000000004">
      <c r="A372">
        <v>369</v>
      </c>
      <c r="B372">
        <v>8.2906377355051468</v>
      </c>
      <c r="C372">
        <v>2.4222315549850464</v>
      </c>
      <c r="D372">
        <v>11.89790390113644</v>
      </c>
      <c r="E372">
        <v>8.2906377355051468</v>
      </c>
      <c r="F372">
        <v>2.4222315549850464</v>
      </c>
      <c r="G372">
        <v>11.89790390113644</v>
      </c>
      <c r="H372">
        <v>22.610773191626635</v>
      </c>
    </row>
    <row r="373" spans="1:8" x14ac:dyDescent="0.55000000000000004">
      <c r="A373">
        <v>370</v>
      </c>
      <c r="B373">
        <v>8.4882813780769002</v>
      </c>
      <c r="C373">
        <v>3.8896954655647278</v>
      </c>
      <c r="D373">
        <v>10.621643590763041</v>
      </c>
      <c r="E373">
        <v>8.4882813780769002</v>
      </c>
      <c r="F373">
        <v>3.8896954655647278</v>
      </c>
      <c r="G373">
        <v>10.621643590763041</v>
      </c>
      <c r="H373">
        <v>22.999620434404669</v>
      </c>
    </row>
    <row r="374" spans="1:8" x14ac:dyDescent="0.55000000000000004">
      <c r="A374">
        <v>371</v>
      </c>
      <c r="B374">
        <v>10.648780770794639</v>
      </c>
      <c r="C374">
        <v>2.9457211494445801</v>
      </c>
      <c r="D374">
        <v>11.786302227914472</v>
      </c>
      <c r="E374">
        <v>10.648780770794639</v>
      </c>
      <c r="F374">
        <v>2.9457211494445801</v>
      </c>
      <c r="G374">
        <v>11.786302227914472</v>
      </c>
      <c r="H374">
        <v>25.380804148153693</v>
      </c>
    </row>
    <row r="375" spans="1:8" x14ac:dyDescent="0.55000000000000004">
      <c r="A375">
        <v>372</v>
      </c>
      <c r="B375">
        <v>10.05341437436967</v>
      </c>
      <c r="C375">
        <v>2.0766434073448181</v>
      </c>
      <c r="D375">
        <v>11.24405448291977</v>
      </c>
      <c r="E375">
        <v>10.05341437436967</v>
      </c>
      <c r="F375">
        <v>2.0766434073448181</v>
      </c>
      <c r="G375">
        <v>11.24405448291977</v>
      </c>
      <c r="H375">
        <v>23.374112264634256</v>
      </c>
    </row>
    <row r="376" spans="1:8" x14ac:dyDescent="0.55000000000000004">
      <c r="A376">
        <v>373</v>
      </c>
      <c r="B376">
        <v>10.256884683633526</v>
      </c>
      <c r="C376">
        <v>3.8516179323196411</v>
      </c>
      <c r="D376">
        <v>11.993151711888716</v>
      </c>
      <c r="E376">
        <v>10.256884683633526</v>
      </c>
      <c r="F376">
        <v>3.8516179323196411</v>
      </c>
      <c r="G376">
        <v>11.993151711888716</v>
      </c>
      <c r="H376">
        <v>26.101654327841885</v>
      </c>
    </row>
    <row r="377" spans="1:8" x14ac:dyDescent="0.55000000000000004">
      <c r="A377">
        <v>374</v>
      </c>
      <c r="B377">
        <v>10.141331216746357</v>
      </c>
      <c r="C377">
        <v>3.9981675744056702</v>
      </c>
      <c r="D377">
        <v>11.242738613496261</v>
      </c>
      <c r="E377">
        <v>10.141331216746357</v>
      </c>
      <c r="F377">
        <v>3.9981675744056702</v>
      </c>
      <c r="G377">
        <v>11.242738613496261</v>
      </c>
      <c r="H377">
        <v>25.382237404648286</v>
      </c>
    </row>
    <row r="378" spans="1:8" x14ac:dyDescent="0.55000000000000004">
      <c r="A378">
        <v>375</v>
      </c>
      <c r="B378">
        <v>9.8466511306048154</v>
      </c>
      <c r="C378">
        <v>4.3155581951141357</v>
      </c>
      <c r="D378">
        <v>13.260657388054533</v>
      </c>
      <c r="E378">
        <v>9.8466511306048154</v>
      </c>
      <c r="F378">
        <v>4.3155581951141357</v>
      </c>
      <c r="G378">
        <v>13.260657388054533</v>
      </c>
      <c r="H378">
        <v>27.422866713773484</v>
      </c>
    </row>
    <row r="379" spans="1:8" x14ac:dyDescent="0.55000000000000004">
      <c r="A379">
        <v>376</v>
      </c>
      <c r="B379">
        <v>10.693247232870394</v>
      </c>
      <c r="C379">
        <v>4.2792755961418152</v>
      </c>
      <c r="D379">
        <v>12.585811507170405</v>
      </c>
      <c r="E379">
        <v>10.693247232870394</v>
      </c>
      <c r="F379">
        <v>4.2792755961418152</v>
      </c>
      <c r="G379">
        <v>12.585811507170405</v>
      </c>
      <c r="H379">
        <v>27.558334336182615</v>
      </c>
    </row>
    <row r="380" spans="1:8" x14ac:dyDescent="0.55000000000000004">
      <c r="A380">
        <v>377</v>
      </c>
      <c r="B380">
        <v>9.6114442089554704</v>
      </c>
      <c r="C380">
        <v>4.5482734441757202</v>
      </c>
      <c r="D380">
        <v>11.147287168940206</v>
      </c>
      <c r="E380">
        <v>9.6114442089554704</v>
      </c>
      <c r="F380">
        <v>4.5482734441757202</v>
      </c>
      <c r="G380">
        <v>11.147287168940206</v>
      </c>
      <c r="H380">
        <v>25.307004822071399</v>
      </c>
    </row>
    <row r="381" spans="1:8" x14ac:dyDescent="0.55000000000000004">
      <c r="A381">
        <v>378</v>
      </c>
      <c r="B381">
        <v>11.304571569394939</v>
      </c>
      <c r="C381">
        <v>3.9099043011665344</v>
      </c>
      <c r="D381">
        <v>11.816192942574379</v>
      </c>
      <c r="E381">
        <v>11.304571569394939</v>
      </c>
      <c r="F381">
        <v>3.9099043011665344</v>
      </c>
      <c r="G381">
        <v>11.816192942574379</v>
      </c>
      <c r="H381">
        <v>27.030668813135854</v>
      </c>
    </row>
    <row r="382" spans="1:8" x14ac:dyDescent="0.55000000000000004">
      <c r="A382">
        <v>379</v>
      </c>
      <c r="B382">
        <v>10.069320867614719</v>
      </c>
      <c r="C382">
        <v>4.4699068069458008</v>
      </c>
      <c r="D382">
        <v>12.974143733815158</v>
      </c>
      <c r="E382">
        <v>10.069320867614719</v>
      </c>
      <c r="F382">
        <v>4.4699068069458008</v>
      </c>
      <c r="G382">
        <v>12.974143733815158</v>
      </c>
      <c r="H382">
        <v>27.513371408375676</v>
      </c>
    </row>
    <row r="383" spans="1:8" x14ac:dyDescent="0.55000000000000004">
      <c r="A383">
        <v>380</v>
      </c>
      <c r="B383">
        <v>9.1146492803612542</v>
      </c>
      <c r="C383">
        <v>2.5383767485618591</v>
      </c>
      <c r="D383">
        <v>11.915652801660416</v>
      </c>
      <c r="E383">
        <v>9.1146492803612542</v>
      </c>
      <c r="F383">
        <v>2.5383767485618591</v>
      </c>
      <c r="G383">
        <v>11.915652801660416</v>
      </c>
      <c r="H383">
        <v>23.568678830583529</v>
      </c>
    </row>
    <row r="384" spans="1:8" x14ac:dyDescent="0.55000000000000004">
      <c r="A384">
        <v>381</v>
      </c>
      <c r="B384">
        <v>9.1548935028857166</v>
      </c>
      <c r="C384">
        <v>3.2866731882095337</v>
      </c>
      <c r="D384">
        <v>12.294332575347484</v>
      </c>
      <c r="E384">
        <v>9.1548935028857166</v>
      </c>
      <c r="F384">
        <v>3.2866731882095337</v>
      </c>
      <c r="G384">
        <v>12.294332575347484</v>
      </c>
      <c r="H384">
        <v>24.735899266442736</v>
      </c>
    </row>
    <row r="385" spans="1:8" x14ac:dyDescent="0.55000000000000004">
      <c r="A385">
        <v>382</v>
      </c>
      <c r="B385">
        <v>10.737150681000699</v>
      </c>
      <c r="C385">
        <v>2.4015780091285706</v>
      </c>
      <c r="D385">
        <v>13.115789149207838</v>
      </c>
      <c r="E385">
        <v>10.737150681000699</v>
      </c>
      <c r="F385">
        <v>2.4015780091285706</v>
      </c>
      <c r="G385">
        <v>13.115789149207838</v>
      </c>
      <c r="H385">
        <v>26.254517839337108</v>
      </c>
    </row>
    <row r="386" spans="1:8" x14ac:dyDescent="0.55000000000000004">
      <c r="A386">
        <v>383</v>
      </c>
      <c r="B386">
        <v>10.605653887328593</v>
      </c>
      <c r="C386">
        <v>2.8761131763458252</v>
      </c>
      <c r="D386">
        <v>13.304484489395994</v>
      </c>
      <c r="E386">
        <v>10.605653887328593</v>
      </c>
      <c r="F386">
        <v>2.8761131763458252</v>
      </c>
      <c r="G386">
        <v>13.304484489395994</v>
      </c>
      <c r="H386">
        <v>26.786251553070414</v>
      </c>
    </row>
    <row r="387" spans="1:8" x14ac:dyDescent="0.55000000000000004">
      <c r="A387">
        <v>384</v>
      </c>
      <c r="B387">
        <v>9.106628622247726</v>
      </c>
      <c r="C387">
        <v>2.4230996966362</v>
      </c>
      <c r="D387">
        <v>12.872976172915592</v>
      </c>
      <c r="E387">
        <v>9.106628622247726</v>
      </c>
      <c r="F387">
        <v>2.4230996966362</v>
      </c>
      <c r="G387">
        <v>12.872976172915592</v>
      </c>
      <c r="H387">
        <v>24.402704491799518</v>
      </c>
    </row>
    <row r="388" spans="1:8" x14ac:dyDescent="0.55000000000000004">
      <c r="A388">
        <v>385</v>
      </c>
      <c r="B388">
        <v>9.3846520418274935</v>
      </c>
      <c r="C388">
        <v>3.6371906995773315</v>
      </c>
      <c r="D388">
        <v>12.614783889617035</v>
      </c>
      <c r="E388">
        <v>9.3846520418274935</v>
      </c>
      <c r="F388">
        <v>3.6371906995773315</v>
      </c>
      <c r="G388">
        <v>12.614783889617035</v>
      </c>
      <c r="H388">
        <v>25.636626631021862</v>
      </c>
    </row>
    <row r="389" spans="1:8" x14ac:dyDescent="0.55000000000000004">
      <c r="A389">
        <v>386</v>
      </c>
      <c r="B389">
        <v>9.4836167572493792</v>
      </c>
      <c r="C389">
        <v>3.7606032490730286</v>
      </c>
      <c r="D389">
        <v>10.639870175664816</v>
      </c>
      <c r="E389">
        <v>9.4836167572493792</v>
      </c>
      <c r="F389">
        <v>3.7606032490730286</v>
      </c>
      <c r="G389">
        <v>10.639870175664816</v>
      </c>
      <c r="H389">
        <v>23.884090181987226</v>
      </c>
    </row>
    <row r="390" spans="1:8" x14ac:dyDescent="0.55000000000000004">
      <c r="A390">
        <v>387</v>
      </c>
      <c r="B390">
        <v>10.123738561276348</v>
      </c>
      <c r="C390">
        <v>3.211484432220459</v>
      </c>
      <c r="D390">
        <v>11.677558614386166</v>
      </c>
      <c r="E390">
        <v>10.123738561276348</v>
      </c>
      <c r="F390">
        <v>3.211484432220459</v>
      </c>
      <c r="G390">
        <v>11.677558614386166</v>
      </c>
      <c r="H390">
        <v>25.012781607882971</v>
      </c>
    </row>
    <row r="391" spans="1:8" x14ac:dyDescent="0.55000000000000004">
      <c r="A391">
        <v>388</v>
      </c>
      <c r="B391">
        <v>10.795200325349146</v>
      </c>
      <c r="C391">
        <v>3.8336519598960876</v>
      </c>
      <c r="D391">
        <v>12.296124667190389</v>
      </c>
      <c r="E391">
        <v>10.795200325349146</v>
      </c>
      <c r="F391">
        <v>3.8336519598960876</v>
      </c>
      <c r="G391">
        <v>12.296124667190389</v>
      </c>
      <c r="H391">
        <v>26.924976952435621</v>
      </c>
    </row>
    <row r="392" spans="1:8" x14ac:dyDescent="0.55000000000000004">
      <c r="A392">
        <v>389</v>
      </c>
      <c r="B392">
        <v>10.291892972401882</v>
      </c>
      <c r="C392">
        <v>3.2317229509353638</v>
      </c>
      <c r="D392">
        <v>12.354793223529493</v>
      </c>
      <c r="E392">
        <v>10.291892972401882</v>
      </c>
      <c r="F392">
        <v>3.2317229509353638</v>
      </c>
      <c r="G392">
        <v>12.354793223529493</v>
      </c>
      <c r="H392">
        <v>25.878409146866737</v>
      </c>
    </row>
    <row r="393" spans="1:8" x14ac:dyDescent="0.55000000000000004">
      <c r="A393">
        <v>390</v>
      </c>
      <c r="B393">
        <v>9.5186253012525093</v>
      </c>
      <c r="C393">
        <v>4.6132617592811584</v>
      </c>
      <c r="D393">
        <v>14.00070167363266</v>
      </c>
      <c r="E393">
        <v>9.5186253012525093</v>
      </c>
      <c r="F393">
        <v>4.6132617592811584</v>
      </c>
      <c r="G393">
        <v>14.00070167363266</v>
      </c>
      <c r="H393">
        <v>28.132588734166326</v>
      </c>
    </row>
    <row r="394" spans="1:8" x14ac:dyDescent="0.55000000000000004">
      <c r="A394">
        <v>391</v>
      </c>
      <c r="B394">
        <v>10.390924082269557</v>
      </c>
      <c r="C394">
        <v>3.0039136409759521</v>
      </c>
      <c r="D394">
        <v>11.998635571695132</v>
      </c>
      <c r="E394">
        <v>10.390924082269557</v>
      </c>
      <c r="F394">
        <v>3.0039136409759521</v>
      </c>
      <c r="G394">
        <v>11.998635571695132</v>
      </c>
      <c r="H394">
        <v>25.393473294940641</v>
      </c>
    </row>
    <row r="395" spans="1:8" x14ac:dyDescent="0.55000000000000004">
      <c r="A395">
        <v>392</v>
      </c>
      <c r="B395">
        <v>12.50420083247702</v>
      </c>
      <c r="C395">
        <v>4.7044207453727722</v>
      </c>
      <c r="D395">
        <v>11.638015488300994</v>
      </c>
      <c r="E395">
        <v>12.50420083247702</v>
      </c>
      <c r="F395">
        <v>4.7044207453727722</v>
      </c>
      <c r="G395">
        <v>11.638015488300994</v>
      </c>
      <c r="H395">
        <v>28.846637066150784</v>
      </c>
    </row>
    <row r="396" spans="1:8" x14ac:dyDescent="0.55000000000000004">
      <c r="A396">
        <v>393</v>
      </c>
      <c r="B396">
        <v>9.2088909077863317</v>
      </c>
      <c r="C396">
        <v>4.7793153524398804</v>
      </c>
      <c r="D396">
        <v>12.072236196756185</v>
      </c>
      <c r="E396">
        <v>9.2088909077863317</v>
      </c>
      <c r="F396">
        <v>4.7793153524398804</v>
      </c>
      <c r="G396">
        <v>12.072236196756185</v>
      </c>
      <c r="H396">
        <v>26.060442456982397</v>
      </c>
    </row>
    <row r="397" spans="1:8" x14ac:dyDescent="0.55000000000000004">
      <c r="A397">
        <v>394</v>
      </c>
      <c r="B397">
        <v>10.526431796571</v>
      </c>
      <c r="C397">
        <v>2.5028274655342102</v>
      </c>
      <c r="D397">
        <v>12.109247365109336</v>
      </c>
      <c r="E397">
        <v>10.526431796571</v>
      </c>
      <c r="F397">
        <v>2.5028274655342102</v>
      </c>
      <c r="G397">
        <v>12.109247365109336</v>
      </c>
      <c r="H397">
        <v>25.138506627214547</v>
      </c>
    </row>
    <row r="398" spans="1:8" x14ac:dyDescent="0.55000000000000004">
      <c r="A398">
        <v>395</v>
      </c>
      <c r="B398">
        <v>9.885768346309229</v>
      </c>
      <c r="C398">
        <v>2.0225048065185547</v>
      </c>
      <c r="D398">
        <v>11.293339195082513</v>
      </c>
      <c r="E398">
        <v>9.885768346309229</v>
      </c>
      <c r="F398">
        <v>2.0225048065185547</v>
      </c>
      <c r="G398">
        <v>11.293339195082513</v>
      </c>
      <c r="H398">
        <v>23.201612347910299</v>
      </c>
    </row>
    <row r="399" spans="1:8" x14ac:dyDescent="0.55000000000000004">
      <c r="A399">
        <v>396</v>
      </c>
      <c r="B399">
        <v>9.5406000435401754</v>
      </c>
      <c r="C399">
        <v>2.4570979475975037</v>
      </c>
      <c r="D399">
        <v>11.215785504804206</v>
      </c>
      <c r="E399">
        <v>9.5406000435401754</v>
      </c>
      <c r="F399">
        <v>2.4570979475975037</v>
      </c>
      <c r="G399">
        <v>11.215785504804206</v>
      </c>
      <c r="H399">
        <v>23.213483495941887</v>
      </c>
    </row>
    <row r="400" spans="1:8" x14ac:dyDescent="0.55000000000000004">
      <c r="A400">
        <v>397</v>
      </c>
      <c r="B400">
        <v>9.1715816695548593</v>
      </c>
      <c r="C400">
        <v>3.8317867517471313</v>
      </c>
      <c r="D400">
        <v>14.098797119832737</v>
      </c>
      <c r="E400">
        <v>9.1715816695548593</v>
      </c>
      <c r="F400">
        <v>3.8317867517471313</v>
      </c>
      <c r="G400">
        <v>14.098797119832737</v>
      </c>
      <c r="H400">
        <v>27.102165541134728</v>
      </c>
    </row>
    <row r="401" spans="1:8" x14ac:dyDescent="0.55000000000000004">
      <c r="A401">
        <v>398</v>
      </c>
      <c r="B401">
        <v>8.7662315776946809</v>
      </c>
      <c r="C401">
        <v>2.2176914811134338</v>
      </c>
      <c r="D401">
        <v>10.999145619666781</v>
      </c>
      <c r="E401">
        <v>8.7662315776946809</v>
      </c>
      <c r="F401">
        <v>2.2176914811134338</v>
      </c>
      <c r="G401">
        <v>10.999145619666781</v>
      </c>
      <c r="H401">
        <v>21.983068678474893</v>
      </c>
    </row>
    <row r="402" spans="1:8" x14ac:dyDescent="0.55000000000000004">
      <c r="A402">
        <v>399</v>
      </c>
      <c r="B402">
        <v>12.465567923940128</v>
      </c>
      <c r="C402">
        <v>2.4181978702545166</v>
      </c>
      <c r="D402">
        <v>11.802909503667166</v>
      </c>
      <c r="E402">
        <v>12.465567923940128</v>
      </c>
      <c r="F402">
        <v>2.4181978702545166</v>
      </c>
      <c r="G402">
        <v>11.802909503667166</v>
      </c>
      <c r="H402">
        <v>26.686675297861811</v>
      </c>
    </row>
    <row r="403" spans="1:8" x14ac:dyDescent="0.55000000000000004">
      <c r="A403">
        <v>400</v>
      </c>
      <c r="B403">
        <v>10.251948716250103</v>
      </c>
      <c r="C403">
        <v>2.203805148601532</v>
      </c>
      <c r="D403">
        <v>12.204295078143316</v>
      </c>
      <c r="E403">
        <v>10.251948716250103</v>
      </c>
      <c r="F403">
        <v>2.203805148601532</v>
      </c>
      <c r="G403">
        <v>12.204295078143316</v>
      </c>
      <c r="H403">
        <v>24.660048942994951</v>
      </c>
    </row>
    <row r="404" spans="1:8" x14ac:dyDescent="0.55000000000000004">
      <c r="A404">
        <v>401</v>
      </c>
      <c r="B404">
        <v>9.64134989440997</v>
      </c>
      <c r="C404">
        <v>4.2993544340133667</v>
      </c>
      <c r="D404">
        <v>13.254220824448151</v>
      </c>
      <c r="E404">
        <v>9.64134989440997</v>
      </c>
      <c r="F404">
        <v>4.2993544340133667</v>
      </c>
      <c r="G404">
        <v>13.254220824448151</v>
      </c>
      <c r="H404">
        <v>27.194925152871487</v>
      </c>
    </row>
    <row r="405" spans="1:8" x14ac:dyDescent="0.55000000000000004">
      <c r="A405">
        <v>402</v>
      </c>
      <c r="B405">
        <v>11.102178508805919</v>
      </c>
      <c r="C405">
        <v>4.8694871068000793</v>
      </c>
      <c r="D405">
        <v>12.288514602137708</v>
      </c>
      <c r="E405">
        <v>11.102178508805919</v>
      </c>
      <c r="F405">
        <v>4.8694871068000793</v>
      </c>
      <c r="G405">
        <v>12.288514602137708</v>
      </c>
      <c r="H405">
        <v>28.260180217743706</v>
      </c>
    </row>
    <row r="406" spans="1:8" x14ac:dyDescent="0.55000000000000004">
      <c r="A406">
        <v>403</v>
      </c>
      <c r="B406">
        <v>8.148819140898107</v>
      </c>
      <c r="C406">
        <v>3.6143937110900879</v>
      </c>
      <c r="D406">
        <v>12.498044480764923</v>
      </c>
      <c r="E406">
        <v>8.148819140898107</v>
      </c>
      <c r="F406">
        <v>3.6143937110900879</v>
      </c>
      <c r="G406">
        <v>12.498044480764923</v>
      </c>
      <c r="H406">
        <v>24.261257332753118</v>
      </c>
    </row>
    <row r="407" spans="1:8" x14ac:dyDescent="0.55000000000000004">
      <c r="A407">
        <v>404</v>
      </c>
      <c r="B407">
        <v>7.434124512020885</v>
      </c>
      <c r="C407">
        <v>4.7002186179161072</v>
      </c>
      <c r="D407">
        <v>12.017246047485147</v>
      </c>
      <c r="E407">
        <v>7.434124512020885</v>
      </c>
      <c r="F407">
        <v>4.7002186179161072</v>
      </c>
      <c r="G407">
        <v>12.017246047485147</v>
      </c>
      <c r="H407">
        <v>24.151589177422139</v>
      </c>
    </row>
    <row r="408" spans="1:8" x14ac:dyDescent="0.55000000000000004">
      <c r="A408">
        <v>405</v>
      </c>
      <c r="B408">
        <v>10.97950316861891</v>
      </c>
      <c r="C408">
        <v>4.7162591218948364</v>
      </c>
      <c r="D408">
        <v>12.623426067974192</v>
      </c>
      <c r="E408">
        <v>10.97950316861891</v>
      </c>
      <c r="F408">
        <v>4.7162591218948364</v>
      </c>
      <c r="G408">
        <v>12.623426067974192</v>
      </c>
      <c r="H408">
        <v>28.319188358487938</v>
      </c>
    </row>
    <row r="409" spans="1:8" x14ac:dyDescent="0.55000000000000004">
      <c r="A409">
        <v>406</v>
      </c>
      <c r="B409">
        <v>8.9361373990442061</v>
      </c>
      <c r="C409">
        <v>3.7212148308753967</v>
      </c>
      <c r="D409">
        <v>11.227628791097077</v>
      </c>
      <c r="E409">
        <v>8.9361373990442061</v>
      </c>
      <c r="F409">
        <v>3.7212148308753967</v>
      </c>
      <c r="G409">
        <v>11.227628791097077</v>
      </c>
      <c r="H409">
        <v>23.884981021016678</v>
      </c>
    </row>
    <row r="410" spans="1:8" x14ac:dyDescent="0.55000000000000004">
      <c r="A410">
        <v>407</v>
      </c>
      <c r="B410">
        <v>9.8039231474128599</v>
      </c>
      <c r="C410">
        <v>3.9475791454315186</v>
      </c>
      <c r="D410">
        <v>11.020651775226144</v>
      </c>
      <c r="E410">
        <v>9.8039231474128599</v>
      </c>
      <c r="F410">
        <v>3.9475791454315186</v>
      </c>
      <c r="G410">
        <v>11.020651775226144</v>
      </c>
      <c r="H410">
        <v>24.77215406807052</v>
      </c>
    </row>
    <row r="411" spans="1:8" x14ac:dyDescent="0.55000000000000004">
      <c r="A411">
        <v>408</v>
      </c>
      <c r="B411">
        <v>9.6818246184163961</v>
      </c>
      <c r="C411">
        <v>4.0486943125724792</v>
      </c>
      <c r="D411">
        <v>13.339139661311464</v>
      </c>
      <c r="E411">
        <v>9.6818246184163961</v>
      </c>
      <c r="F411">
        <v>4.0486943125724792</v>
      </c>
      <c r="G411">
        <v>13.339139661311464</v>
      </c>
      <c r="H411">
        <v>27.069658592300339</v>
      </c>
    </row>
    <row r="412" spans="1:8" x14ac:dyDescent="0.55000000000000004">
      <c r="A412">
        <v>409</v>
      </c>
      <c r="B412">
        <v>8.9486338640046696</v>
      </c>
      <c r="C412">
        <v>3.2563899755477905</v>
      </c>
      <c r="D412">
        <v>11.038516654144146</v>
      </c>
      <c r="E412">
        <v>8.9486338640046696</v>
      </c>
      <c r="F412">
        <v>3.2563899755477905</v>
      </c>
      <c r="G412">
        <v>11.038516654144146</v>
      </c>
      <c r="H412">
        <v>23.243540493696607</v>
      </c>
    </row>
    <row r="413" spans="1:8" x14ac:dyDescent="0.55000000000000004">
      <c r="A413">
        <v>410</v>
      </c>
      <c r="B413">
        <v>9.721500461950134</v>
      </c>
      <c r="C413">
        <v>4.765367329120636</v>
      </c>
      <c r="D413">
        <v>12.048006668152626</v>
      </c>
      <c r="E413">
        <v>9.721500461950134</v>
      </c>
      <c r="F413">
        <v>4.765367329120636</v>
      </c>
      <c r="G413">
        <v>12.048006668152626</v>
      </c>
      <c r="H413">
        <v>26.534874459223396</v>
      </c>
    </row>
    <row r="414" spans="1:8" x14ac:dyDescent="0.55000000000000004">
      <c r="A414">
        <v>411</v>
      </c>
      <c r="B414">
        <v>10.556519589986991</v>
      </c>
      <c r="C414">
        <v>3.0579519271850586</v>
      </c>
      <c r="D414">
        <v>11.555640039060918</v>
      </c>
      <c r="E414">
        <v>10.556519589986991</v>
      </c>
      <c r="F414">
        <v>3.0579519271850586</v>
      </c>
      <c r="G414">
        <v>11.555640039060918</v>
      </c>
      <c r="H414">
        <v>25.170111556232968</v>
      </c>
    </row>
    <row r="415" spans="1:8" x14ac:dyDescent="0.55000000000000004">
      <c r="A415">
        <v>412</v>
      </c>
      <c r="B415">
        <v>10.65849360572169</v>
      </c>
      <c r="C415">
        <v>4.1513928771018982</v>
      </c>
      <c r="D415">
        <v>12.267423403732423</v>
      </c>
      <c r="E415">
        <v>10.65849360572169</v>
      </c>
      <c r="F415">
        <v>4.1513928771018982</v>
      </c>
      <c r="G415">
        <v>12.267423403732423</v>
      </c>
      <c r="H415">
        <v>27.077309886556009</v>
      </c>
    </row>
    <row r="416" spans="1:8" x14ac:dyDescent="0.55000000000000004">
      <c r="A416">
        <v>413</v>
      </c>
      <c r="B416">
        <v>9.7438011832868501</v>
      </c>
      <c r="C416">
        <v>3.498909592628479</v>
      </c>
      <c r="D416">
        <v>11.820644724903055</v>
      </c>
      <c r="E416">
        <v>9.7438011832868501</v>
      </c>
      <c r="F416">
        <v>3.498909592628479</v>
      </c>
      <c r="G416">
        <v>11.820644724903055</v>
      </c>
      <c r="H416">
        <v>25.063355500818382</v>
      </c>
    </row>
    <row r="417" spans="1:8" x14ac:dyDescent="0.55000000000000004">
      <c r="A417">
        <v>414</v>
      </c>
      <c r="B417">
        <v>12.411435020220345</v>
      </c>
      <c r="C417">
        <v>3.0520544648170471</v>
      </c>
      <c r="D417">
        <v>13.956229871384325</v>
      </c>
      <c r="E417">
        <v>12.411435020220345</v>
      </c>
      <c r="F417">
        <v>3.0520544648170471</v>
      </c>
      <c r="G417">
        <v>13.956229871384325</v>
      </c>
      <c r="H417">
        <v>29.419719356421716</v>
      </c>
    </row>
    <row r="418" spans="1:8" x14ac:dyDescent="0.55000000000000004">
      <c r="A418">
        <v>415</v>
      </c>
      <c r="B418">
        <v>7.0174946367328976</v>
      </c>
      <c r="C418">
        <v>2.030045747756958</v>
      </c>
      <c r="D418">
        <v>12.32090479998987</v>
      </c>
      <c r="E418">
        <v>7.0174946367328976</v>
      </c>
      <c r="F418">
        <v>2.030045747756958</v>
      </c>
      <c r="G418">
        <v>12.32090479998987</v>
      </c>
      <c r="H418">
        <v>21.368445184479725</v>
      </c>
    </row>
    <row r="419" spans="1:8" x14ac:dyDescent="0.55000000000000004">
      <c r="A419">
        <v>416</v>
      </c>
      <c r="B419">
        <v>8.9492908262767887</v>
      </c>
      <c r="C419">
        <v>2.913404643535614</v>
      </c>
      <c r="D419">
        <v>12.531527112264786</v>
      </c>
      <c r="E419">
        <v>8.9492908262767887</v>
      </c>
      <c r="F419">
        <v>2.913404643535614</v>
      </c>
      <c r="G419">
        <v>12.531527112264786</v>
      </c>
      <c r="H419">
        <v>24.394222582077191</v>
      </c>
    </row>
    <row r="420" spans="1:8" x14ac:dyDescent="0.55000000000000004">
      <c r="A420">
        <v>417</v>
      </c>
      <c r="B420">
        <v>10.775011413571297</v>
      </c>
      <c r="C420">
        <v>2.9438790082931519</v>
      </c>
      <c r="D420">
        <v>11.961121782253411</v>
      </c>
      <c r="E420">
        <v>10.775011413571297</v>
      </c>
      <c r="F420">
        <v>2.9438790082931519</v>
      </c>
      <c r="G420">
        <v>11.961121782253411</v>
      </c>
      <c r="H420">
        <v>25.680012204117858</v>
      </c>
    </row>
    <row r="421" spans="1:8" x14ac:dyDescent="0.55000000000000004">
      <c r="A421">
        <v>418</v>
      </c>
      <c r="B421">
        <v>9.1603959680947398</v>
      </c>
      <c r="C421">
        <v>4.7671282887458801</v>
      </c>
      <c r="D421">
        <v>10.713106305665525</v>
      </c>
      <c r="E421">
        <v>9.1603959680947398</v>
      </c>
      <c r="F421">
        <v>4.7671282887458801</v>
      </c>
      <c r="G421">
        <v>10.713106305665525</v>
      </c>
      <c r="H421">
        <v>24.640630562506146</v>
      </c>
    </row>
    <row r="422" spans="1:8" x14ac:dyDescent="0.55000000000000004">
      <c r="A422">
        <v>419</v>
      </c>
      <c r="B422">
        <v>8.4564808449470412</v>
      </c>
      <c r="C422">
        <v>4.2833552360534668</v>
      </c>
      <c r="D422">
        <v>13.63186710891455</v>
      </c>
      <c r="E422">
        <v>8.4564808449470412</v>
      </c>
      <c r="F422">
        <v>4.2833552360534668</v>
      </c>
      <c r="G422">
        <v>13.63186710891455</v>
      </c>
      <c r="H422">
        <v>26.37170318991506</v>
      </c>
    </row>
    <row r="423" spans="1:8" x14ac:dyDescent="0.55000000000000004">
      <c r="A423">
        <v>420</v>
      </c>
      <c r="B423">
        <v>10.404155226894048</v>
      </c>
      <c r="C423">
        <v>4.1958746314048767</v>
      </c>
      <c r="D423">
        <v>11.49769836907816</v>
      </c>
      <c r="E423">
        <v>10.404155226894048</v>
      </c>
      <c r="F423">
        <v>4.1958746314048767</v>
      </c>
      <c r="G423">
        <v>11.49769836907816</v>
      </c>
      <c r="H423">
        <v>26.097728227377083</v>
      </c>
    </row>
    <row r="424" spans="1:8" x14ac:dyDescent="0.55000000000000004">
      <c r="A424">
        <v>421</v>
      </c>
      <c r="B424">
        <v>9.4561298112434109</v>
      </c>
      <c r="C424">
        <v>3.2778826951980591</v>
      </c>
      <c r="D424">
        <v>11.502205617885473</v>
      </c>
      <c r="E424">
        <v>9.4561298112434109</v>
      </c>
      <c r="F424">
        <v>3.2778826951980591</v>
      </c>
      <c r="G424">
        <v>11.502205617885473</v>
      </c>
      <c r="H424">
        <v>24.236218124326943</v>
      </c>
    </row>
    <row r="425" spans="1:8" x14ac:dyDescent="0.55000000000000004">
      <c r="A425">
        <v>422</v>
      </c>
      <c r="B425">
        <v>9.4859991633403187</v>
      </c>
      <c r="C425">
        <v>2.060308039188385</v>
      </c>
      <c r="D425">
        <v>12.966222135222413</v>
      </c>
      <c r="E425">
        <v>9.4859991633403187</v>
      </c>
      <c r="F425">
        <v>2.060308039188385</v>
      </c>
      <c r="G425">
        <v>12.966222135222413</v>
      </c>
      <c r="H425">
        <v>24.512529337751118</v>
      </c>
    </row>
    <row r="426" spans="1:8" x14ac:dyDescent="0.55000000000000004">
      <c r="A426">
        <v>423</v>
      </c>
      <c r="B426">
        <v>10.476835537787784</v>
      </c>
      <c r="C426">
        <v>2.212960958480835</v>
      </c>
      <c r="D426">
        <v>11.128326214204884</v>
      </c>
      <c r="E426">
        <v>10.476835537787784</v>
      </c>
      <c r="F426">
        <v>2.212960958480835</v>
      </c>
      <c r="G426">
        <v>11.128326214204884</v>
      </c>
      <c r="H426">
        <v>23.818122710473503</v>
      </c>
    </row>
    <row r="427" spans="1:8" x14ac:dyDescent="0.55000000000000004">
      <c r="A427">
        <v>424</v>
      </c>
      <c r="B427">
        <v>10.503884291935504</v>
      </c>
      <c r="C427">
        <v>3.5191275477409363</v>
      </c>
      <c r="D427">
        <v>12.138300792813933</v>
      </c>
      <c r="E427">
        <v>10.503884291935504</v>
      </c>
      <c r="F427">
        <v>3.5191275477409363</v>
      </c>
      <c r="G427">
        <v>12.138300792813933</v>
      </c>
      <c r="H427">
        <v>26.161312632490372</v>
      </c>
    </row>
    <row r="428" spans="1:8" x14ac:dyDescent="0.55000000000000004">
      <c r="A428">
        <v>425</v>
      </c>
      <c r="B428">
        <v>10.62788796088978</v>
      </c>
      <c r="C428">
        <v>3.3896535634994507</v>
      </c>
      <c r="D428">
        <v>13.227864697316454</v>
      </c>
      <c r="E428">
        <v>10.62788796088978</v>
      </c>
      <c r="F428">
        <v>3.3896535634994507</v>
      </c>
      <c r="G428">
        <v>13.227864697316454</v>
      </c>
      <c r="H428">
        <v>27.245406221705686</v>
      </c>
    </row>
    <row r="429" spans="1:8" x14ac:dyDescent="0.55000000000000004">
      <c r="A429">
        <v>426</v>
      </c>
      <c r="B429">
        <v>8.3255906118394716</v>
      </c>
      <c r="C429">
        <v>2.6233051419258118</v>
      </c>
      <c r="D429">
        <v>12.230780787216972</v>
      </c>
      <c r="E429">
        <v>8.3255906118394716</v>
      </c>
      <c r="F429">
        <v>2.6233051419258118</v>
      </c>
      <c r="G429">
        <v>12.230780787216972</v>
      </c>
      <c r="H429">
        <v>23.179676540982257</v>
      </c>
    </row>
    <row r="430" spans="1:8" x14ac:dyDescent="0.55000000000000004">
      <c r="A430">
        <v>427</v>
      </c>
      <c r="B430">
        <v>9.4564100618001756</v>
      </c>
      <c r="C430">
        <v>3.5801544189453125</v>
      </c>
      <c r="D430">
        <v>12.979818349238638</v>
      </c>
      <c r="E430">
        <v>9.4564100618001756</v>
      </c>
      <c r="F430">
        <v>3.5801544189453125</v>
      </c>
      <c r="G430">
        <v>12.979818349238638</v>
      </c>
      <c r="H430">
        <v>26.016382829984124</v>
      </c>
    </row>
    <row r="431" spans="1:8" x14ac:dyDescent="0.55000000000000004">
      <c r="A431">
        <v>428</v>
      </c>
      <c r="B431">
        <v>10.148942570502427</v>
      </c>
      <c r="C431">
        <v>4.5157927870750427</v>
      </c>
      <c r="D431">
        <v>12.106531562249577</v>
      </c>
      <c r="E431">
        <v>10.148942570502427</v>
      </c>
      <c r="F431">
        <v>4.5157927870750427</v>
      </c>
      <c r="G431">
        <v>12.106531562249577</v>
      </c>
      <c r="H431">
        <v>26.771266919827049</v>
      </c>
    </row>
    <row r="432" spans="1:8" x14ac:dyDescent="0.55000000000000004">
      <c r="A432">
        <v>429</v>
      </c>
      <c r="B432">
        <v>11.52938092190754</v>
      </c>
      <c r="C432">
        <v>2.1356979608535767</v>
      </c>
      <c r="D432">
        <v>11.877255513645295</v>
      </c>
      <c r="E432">
        <v>11.52938092190754</v>
      </c>
      <c r="F432">
        <v>2.1356979608535767</v>
      </c>
      <c r="G432">
        <v>11.877255513645295</v>
      </c>
      <c r="H432">
        <v>25.54233439640641</v>
      </c>
    </row>
    <row r="433" spans="1:8" x14ac:dyDescent="0.55000000000000004">
      <c r="A433">
        <v>430</v>
      </c>
      <c r="B433">
        <v>9.4940183065919985</v>
      </c>
      <c r="C433">
        <v>3.0179482102394104</v>
      </c>
      <c r="D433">
        <v>13.220561496915112</v>
      </c>
      <c r="E433">
        <v>9.4940183065919985</v>
      </c>
      <c r="F433">
        <v>3.0179482102394104</v>
      </c>
      <c r="G433">
        <v>13.220561496915112</v>
      </c>
      <c r="H433">
        <v>25.732528013746521</v>
      </c>
    </row>
    <row r="434" spans="1:8" x14ac:dyDescent="0.55000000000000004">
      <c r="A434">
        <v>431</v>
      </c>
      <c r="B434">
        <v>10.881695951716209</v>
      </c>
      <c r="C434">
        <v>4.6530630588531494</v>
      </c>
      <c r="D434">
        <v>13.015827144195605</v>
      </c>
      <c r="E434">
        <v>10.881695951716209</v>
      </c>
      <c r="F434">
        <v>4.6530630588531494</v>
      </c>
      <c r="G434">
        <v>13.015827144195605</v>
      </c>
      <c r="H434">
        <v>28.550586154764964</v>
      </c>
    </row>
    <row r="435" spans="1:8" x14ac:dyDescent="0.55000000000000004">
      <c r="A435">
        <v>432</v>
      </c>
      <c r="B435">
        <v>9.3113038199700675</v>
      </c>
      <c r="C435">
        <v>3.133929431438446</v>
      </c>
      <c r="D435">
        <v>13.588218758746521</v>
      </c>
      <c r="E435">
        <v>9.3113038199700675</v>
      </c>
      <c r="F435">
        <v>3.133929431438446</v>
      </c>
      <c r="G435">
        <v>13.588218758746521</v>
      </c>
      <c r="H435">
        <v>26.033452010155035</v>
      </c>
    </row>
    <row r="436" spans="1:8" x14ac:dyDescent="0.55000000000000004">
      <c r="A436">
        <v>433</v>
      </c>
      <c r="B436">
        <v>9.3151572117473993</v>
      </c>
      <c r="C436">
        <v>4.855920672416687</v>
      </c>
      <c r="D436">
        <v>11.14087073409469</v>
      </c>
      <c r="E436">
        <v>9.3151572117473993</v>
      </c>
      <c r="F436">
        <v>4.855920672416687</v>
      </c>
      <c r="G436">
        <v>11.14087073409469</v>
      </c>
      <c r="H436">
        <v>25.311948618258775</v>
      </c>
    </row>
    <row r="437" spans="1:8" x14ac:dyDescent="0.55000000000000004">
      <c r="A437">
        <v>434</v>
      </c>
      <c r="B437">
        <v>7.6459037087975243</v>
      </c>
      <c r="C437">
        <v>4.7543080449104309</v>
      </c>
      <c r="D437">
        <v>12.315038904439952</v>
      </c>
      <c r="E437">
        <v>7.6459037087975243</v>
      </c>
      <c r="F437">
        <v>4.7543080449104309</v>
      </c>
      <c r="G437">
        <v>12.315038904439952</v>
      </c>
      <c r="H437">
        <v>24.715250658147909</v>
      </c>
    </row>
    <row r="438" spans="1:8" x14ac:dyDescent="0.55000000000000004">
      <c r="A438">
        <v>435</v>
      </c>
      <c r="B438">
        <v>10.700442818673812</v>
      </c>
      <c r="C438">
        <v>3.0972752571105957</v>
      </c>
      <c r="D438">
        <v>10.783344132436889</v>
      </c>
      <c r="E438">
        <v>10.700442818673812</v>
      </c>
      <c r="F438">
        <v>3.0972752571105957</v>
      </c>
      <c r="G438">
        <v>10.783344132436889</v>
      </c>
      <c r="H438">
        <v>24.581062208221297</v>
      </c>
    </row>
    <row r="439" spans="1:8" x14ac:dyDescent="0.55000000000000004">
      <c r="A439">
        <v>436</v>
      </c>
      <c r="B439">
        <v>9.9313523153375751</v>
      </c>
      <c r="C439">
        <v>2.5901512503623962</v>
      </c>
      <c r="D439">
        <v>12.555466236616862</v>
      </c>
      <c r="E439">
        <v>9.9313523153375751</v>
      </c>
      <c r="F439">
        <v>2.5901512503623962</v>
      </c>
      <c r="G439">
        <v>12.555466236616862</v>
      </c>
      <c r="H439">
        <v>25.076969802316832</v>
      </c>
    </row>
    <row r="440" spans="1:8" x14ac:dyDescent="0.55000000000000004">
      <c r="A440">
        <v>437</v>
      </c>
      <c r="B440">
        <v>9.3657316811273716</v>
      </c>
      <c r="C440">
        <v>3.6392499208450317</v>
      </c>
      <c r="D440">
        <v>11.219534352583914</v>
      </c>
      <c r="E440">
        <v>9.3657316811273716</v>
      </c>
      <c r="F440">
        <v>3.6392499208450317</v>
      </c>
      <c r="G440">
        <v>11.219534352583914</v>
      </c>
      <c r="H440">
        <v>24.224515954556317</v>
      </c>
    </row>
    <row r="441" spans="1:8" x14ac:dyDescent="0.55000000000000004">
      <c r="A441">
        <v>438</v>
      </c>
      <c r="B441">
        <v>9.4945874281378178</v>
      </c>
      <c r="C441">
        <v>4.1188226342201233</v>
      </c>
      <c r="D441">
        <v>13.366093905958635</v>
      </c>
      <c r="E441">
        <v>9.4945874281378178</v>
      </c>
      <c r="F441">
        <v>4.1188226342201233</v>
      </c>
      <c r="G441">
        <v>13.366093905958635</v>
      </c>
      <c r="H441">
        <v>26.979503968316578</v>
      </c>
    </row>
    <row r="442" spans="1:8" x14ac:dyDescent="0.55000000000000004">
      <c r="A442">
        <v>439</v>
      </c>
      <c r="B442">
        <v>10.301866799630542</v>
      </c>
      <c r="C442">
        <v>2.6164653301239014</v>
      </c>
      <c r="D442">
        <v>14.002867847234436</v>
      </c>
      <c r="E442">
        <v>10.301866799630542</v>
      </c>
      <c r="F442">
        <v>2.6164653301239014</v>
      </c>
      <c r="G442">
        <v>14.002867847234436</v>
      </c>
      <c r="H442">
        <v>26.921199976988881</v>
      </c>
    </row>
    <row r="443" spans="1:8" x14ac:dyDescent="0.55000000000000004">
      <c r="A443">
        <v>440</v>
      </c>
      <c r="B443">
        <v>12.318556044677299</v>
      </c>
      <c r="C443">
        <v>2.0727517008781433</v>
      </c>
      <c r="D443">
        <v>12.648474430615016</v>
      </c>
      <c r="E443">
        <v>12.318556044677299</v>
      </c>
      <c r="F443">
        <v>2.0727517008781433</v>
      </c>
      <c r="G443">
        <v>12.648474430615016</v>
      </c>
      <c r="H443">
        <v>27.039782176170458</v>
      </c>
    </row>
    <row r="444" spans="1:8" x14ac:dyDescent="0.55000000000000004">
      <c r="A444">
        <v>441</v>
      </c>
      <c r="B444">
        <v>10.91358382503069</v>
      </c>
      <c r="C444">
        <v>3.3392623662948608</v>
      </c>
      <c r="D444">
        <v>11.865455973778174</v>
      </c>
      <c r="E444">
        <v>10.91358382503069</v>
      </c>
      <c r="F444">
        <v>3.3392623662948608</v>
      </c>
      <c r="G444">
        <v>11.865455973778174</v>
      </c>
      <c r="H444">
        <v>26.118302165103724</v>
      </c>
    </row>
    <row r="445" spans="1:8" x14ac:dyDescent="0.55000000000000004">
      <c r="A445">
        <v>442</v>
      </c>
      <c r="B445">
        <v>12.579757206840767</v>
      </c>
      <c r="C445">
        <v>3.7524221539497375</v>
      </c>
      <c r="D445">
        <v>11.151129648749958</v>
      </c>
      <c r="E445">
        <v>12.579757206840767</v>
      </c>
      <c r="F445">
        <v>3.7524221539497375</v>
      </c>
      <c r="G445">
        <v>11.151129648749958</v>
      </c>
      <c r="H445">
        <v>27.483309009540463</v>
      </c>
    </row>
    <row r="446" spans="1:8" x14ac:dyDescent="0.55000000000000004">
      <c r="A446">
        <v>443</v>
      </c>
      <c r="B446">
        <v>9.8679943648557451</v>
      </c>
      <c r="C446">
        <v>3.3430185317993164</v>
      </c>
      <c r="D446">
        <v>12.716531643311814</v>
      </c>
      <c r="E446">
        <v>9.8679943648557451</v>
      </c>
      <c r="F446">
        <v>3.3430185317993164</v>
      </c>
      <c r="G446">
        <v>12.716531643311814</v>
      </c>
      <c r="H446">
        <v>25.927544539966874</v>
      </c>
    </row>
    <row r="447" spans="1:8" x14ac:dyDescent="0.55000000000000004">
      <c r="A447">
        <v>444</v>
      </c>
      <c r="B447">
        <v>8.8318608600115454</v>
      </c>
      <c r="C447">
        <v>4.1948289275169373</v>
      </c>
      <c r="D447">
        <v>11.511605901720044</v>
      </c>
      <c r="E447">
        <v>8.8318608600115454</v>
      </c>
      <c r="F447">
        <v>4.1948289275169373</v>
      </c>
      <c r="G447">
        <v>11.511605901720044</v>
      </c>
      <c r="H447">
        <v>24.538295689248528</v>
      </c>
    </row>
    <row r="448" spans="1:8" x14ac:dyDescent="0.55000000000000004">
      <c r="A448">
        <v>445</v>
      </c>
      <c r="B448">
        <v>9.2281766239735425</v>
      </c>
      <c r="C448">
        <v>3.3398081064224243</v>
      </c>
      <c r="D448">
        <v>14.069287552545223</v>
      </c>
      <c r="E448">
        <v>9.2281766239735425</v>
      </c>
      <c r="F448">
        <v>3.3398081064224243</v>
      </c>
      <c r="G448">
        <v>14.069287552545223</v>
      </c>
      <c r="H448">
        <v>26.63727228294119</v>
      </c>
    </row>
    <row r="449" spans="1:8" x14ac:dyDescent="0.55000000000000004">
      <c r="A449">
        <v>446</v>
      </c>
      <c r="B449">
        <v>9.1165716182856649</v>
      </c>
      <c r="C449">
        <v>3.9786539673805237</v>
      </c>
      <c r="D449">
        <v>12.20020238040982</v>
      </c>
      <c r="E449">
        <v>9.1165716182856649</v>
      </c>
      <c r="F449">
        <v>3.9786539673805237</v>
      </c>
      <c r="G449">
        <v>12.20020238040982</v>
      </c>
      <c r="H449">
        <v>25.295427966076009</v>
      </c>
    </row>
    <row r="450" spans="1:8" x14ac:dyDescent="0.55000000000000004">
      <c r="A450">
        <v>447</v>
      </c>
      <c r="B450">
        <v>10.614488053287543</v>
      </c>
      <c r="C450">
        <v>4.9786560535430908</v>
      </c>
      <c r="D450">
        <v>12.439767154073508</v>
      </c>
      <c r="E450">
        <v>10.614488053287543</v>
      </c>
      <c r="F450">
        <v>4.9786560535430908</v>
      </c>
      <c r="G450">
        <v>12.439767154073508</v>
      </c>
      <c r="H450">
        <v>28.032911260904143</v>
      </c>
    </row>
    <row r="451" spans="1:8" x14ac:dyDescent="0.55000000000000004">
      <c r="A451">
        <v>448</v>
      </c>
      <c r="B451">
        <v>10.160767775899375</v>
      </c>
      <c r="C451">
        <v>2.1974107623100281</v>
      </c>
      <c r="D451">
        <v>11.931840506337959</v>
      </c>
      <c r="E451">
        <v>10.160767775899375</v>
      </c>
      <c r="F451">
        <v>2.1974107623100281</v>
      </c>
      <c r="G451">
        <v>11.931840506337959</v>
      </c>
      <c r="H451">
        <v>24.290019044547364</v>
      </c>
    </row>
    <row r="452" spans="1:8" x14ac:dyDescent="0.55000000000000004">
      <c r="A452">
        <v>449</v>
      </c>
      <c r="B452">
        <v>10.590094193447786</v>
      </c>
      <c r="C452">
        <v>4.0706356763839722</v>
      </c>
      <c r="D452">
        <v>10.543939066496623</v>
      </c>
      <c r="E452">
        <v>10.590094193447786</v>
      </c>
      <c r="F452">
        <v>4.0706356763839722</v>
      </c>
      <c r="G452">
        <v>10.543939066496623</v>
      </c>
      <c r="H452">
        <v>25.204668936328382</v>
      </c>
    </row>
    <row r="453" spans="1:8" x14ac:dyDescent="0.55000000000000004">
      <c r="A453">
        <v>450</v>
      </c>
      <c r="B453">
        <v>9.2942851991796811</v>
      </c>
      <c r="C453">
        <v>3.8818076252937317</v>
      </c>
      <c r="D453">
        <v>10.457884424177697</v>
      </c>
      <c r="E453">
        <v>9.2942851991796811</v>
      </c>
      <c r="F453">
        <v>3.8818076252937317</v>
      </c>
      <c r="G453">
        <v>10.457884424177697</v>
      </c>
      <c r="H453">
        <v>23.63397724865111</v>
      </c>
    </row>
    <row r="454" spans="1:8" x14ac:dyDescent="0.55000000000000004">
      <c r="A454">
        <v>451</v>
      </c>
      <c r="B454">
        <v>9.9840371597901996</v>
      </c>
      <c r="C454">
        <v>4.6850600242614746</v>
      </c>
      <c r="D454">
        <v>11.713099294063927</v>
      </c>
      <c r="E454">
        <v>9.9840371597901996</v>
      </c>
      <c r="F454">
        <v>4.6850600242614746</v>
      </c>
      <c r="G454">
        <v>11.713099294063927</v>
      </c>
      <c r="H454">
        <v>26.382196478115603</v>
      </c>
    </row>
    <row r="455" spans="1:8" x14ac:dyDescent="0.55000000000000004">
      <c r="A455">
        <v>452</v>
      </c>
      <c r="B455">
        <v>9.8304130517376063</v>
      </c>
      <c r="C455">
        <v>3.9025797247886658</v>
      </c>
      <c r="D455">
        <v>12.064488515857828</v>
      </c>
      <c r="E455">
        <v>9.8304130517376063</v>
      </c>
      <c r="F455">
        <v>3.9025797247886658</v>
      </c>
      <c r="G455">
        <v>12.064488515857828</v>
      </c>
      <c r="H455">
        <v>25.797481292384099</v>
      </c>
    </row>
    <row r="456" spans="1:8" x14ac:dyDescent="0.55000000000000004">
      <c r="A456">
        <v>453</v>
      </c>
      <c r="B456">
        <v>9.3954542278169182</v>
      </c>
      <c r="C456">
        <v>2.2730170488357544</v>
      </c>
      <c r="D456">
        <v>12.130974560914547</v>
      </c>
      <c r="E456">
        <v>9.3954542278169182</v>
      </c>
      <c r="F456">
        <v>2.2730170488357544</v>
      </c>
      <c r="G456">
        <v>12.130974560914547</v>
      </c>
      <c r="H456">
        <v>23.79944583756722</v>
      </c>
    </row>
    <row r="457" spans="1:8" x14ac:dyDescent="0.55000000000000004">
      <c r="A457">
        <v>454</v>
      </c>
      <c r="B457">
        <v>11.36861869253852</v>
      </c>
      <c r="C457">
        <v>3.1350398659706116</v>
      </c>
      <c r="D457">
        <v>13.561233083657054</v>
      </c>
      <c r="E457">
        <v>11.36861869253852</v>
      </c>
      <c r="F457">
        <v>3.1350398659706116</v>
      </c>
      <c r="G457">
        <v>13.561233083657054</v>
      </c>
      <c r="H457">
        <v>28.064891642166188</v>
      </c>
    </row>
    <row r="458" spans="1:8" x14ac:dyDescent="0.55000000000000004">
      <c r="A458">
        <v>455</v>
      </c>
      <c r="B458">
        <v>10.417810612152804</v>
      </c>
      <c r="C458">
        <v>4.7244985103607178</v>
      </c>
      <c r="D458">
        <v>11.543457919455118</v>
      </c>
      <c r="E458">
        <v>10.417810612152804</v>
      </c>
      <c r="F458">
        <v>4.7244985103607178</v>
      </c>
      <c r="G458">
        <v>11.543457919455118</v>
      </c>
      <c r="H458">
        <v>26.685767041968639</v>
      </c>
    </row>
    <row r="459" spans="1:8" x14ac:dyDescent="0.55000000000000004">
      <c r="A459">
        <v>456</v>
      </c>
      <c r="B459">
        <v>10.148510515257678</v>
      </c>
      <c r="C459">
        <v>2.4165980219841003</v>
      </c>
      <c r="D459">
        <v>10.687397862563529</v>
      </c>
      <c r="E459">
        <v>10.148510515257678</v>
      </c>
      <c r="F459">
        <v>2.4165980219841003</v>
      </c>
      <c r="G459">
        <v>10.687397862563529</v>
      </c>
      <c r="H459">
        <v>23.252506399805306</v>
      </c>
    </row>
    <row r="460" spans="1:8" x14ac:dyDescent="0.55000000000000004">
      <c r="A460">
        <v>457</v>
      </c>
      <c r="B460">
        <v>9.9751859333032193</v>
      </c>
      <c r="C460">
        <v>2.015372633934021</v>
      </c>
      <c r="D460">
        <v>13.781492330727902</v>
      </c>
      <c r="E460">
        <v>9.9751859333032193</v>
      </c>
      <c r="F460">
        <v>2.015372633934021</v>
      </c>
      <c r="G460">
        <v>13.781492330727902</v>
      </c>
      <c r="H460">
        <v>25.772050897965144</v>
      </c>
    </row>
    <row r="461" spans="1:8" x14ac:dyDescent="0.55000000000000004">
      <c r="A461">
        <v>458</v>
      </c>
      <c r="B461">
        <v>10.872849660305535</v>
      </c>
      <c r="C461">
        <v>4.5784996151924133</v>
      </c>
      <c r="D461">
        <v>10.89868028097094</v>
      </c>
      <c r="E461">
        <v>10.872849660305535</v>
      </c>
      <c r="F461">
        <v>4.5784996151924133</v>
      </c>
      <c r="G461">
        <v>10.89868028097094</v>
      </c>
      <c r="H461">
        <v>26.35002955646889</v>
      </c>
    </row>
    <row r="462" spans="1:8" x14ac:dyDescent="0.55000000000000004">
      <c r="A462">
        <v>459</v>
      </c>
      <c r="B462">
        <v>10.438671254870492</v>
      </c>
      <c r="C462">
        <v>2.8504505157470703</v>
      </c>
      <c r="D462">
        <v>11.710925411373266</v>
      </c>
      <c r="E462">
        <v>10.438671254870492</v>
      </c>
      <c r="F462">
        <v>2.8504505157470703</v>
      </c>
      <c r="G462">
        <v>11.710925411373266</v>
      </c>
      <c r="H462">
        <v>25.00004718199083</v>
      </c>
    </row>
    <row r="463" spans="1:8" x14ac:dyDescent="0.55000000000000004">
      <c r="A463">
        <v>460</v>
      </c>
      <c r="B463">
        <v>8.2119334892807867</v>
      </c>
      <c r="C463">
        <v>4.5830325484275818</v>
      </c>
      <c r="D463">
        <v>11.933489247590346</v>
      </c>
      <c r="E463">
        <v>8.2119334892807867</v>
      </c>
      <c r="F463">
        <v>4.5830325484275818</v>
      </c>
      <c r="G463">
        <v>11.933489247590346</v>
      </c>
      <c r="H463">
        <v>24.728455285298715</v>
      </c>
    </row>
    <row r="464" spans="1:8" x14ac:dyDescent="0.55000000000000004">
      <c r="A464">
        <v>461</v>
      </c>
      <c r="B464">
        <v>11.286272644097917</v>
      </c>
      <c r="C464">
        <v>2.458896279335022</v>
      </c>
      <c r="D464">
        <v>11.686999882657918</v>
      </c>
      <c r="E464">
        <v>11.286272644097917</v>
      </c>
      <c r="F464">
        <v>2.458896279335022</v>
      </c>
      <c r="G464">
        <v>11.686999882657918</v>
      </c>
      <c r="H464">
        <v>25.432168806090857</v>
      </c>
    </row>
    <row r="465" spans="1:8" x14ac:dyDescent="0.55000000000000004">
      <c r="A465">
        <v>462</v>
      </c>
      <c r="B465">
        <v>8.0396397555900787</v>
      </c>
      <c r="C465">
        <v>2.547452986240387</v>
      </c>
      <c r="D465">
        <v>10.598709275805909</v>
      </c>
      <c r="E465">
        <v>8.0396397555900787</v>
      </c>
      <c r="F465">
        <v>2.547452986240387</v>
      </c>
      <c r="G465">
        <v>10.598709275805909</v>
      </c>
      <c r="H465">
        <v>21.185802017636377</v>
      </c>
    </row>
    <row r="466" spans="1:8" x14ac:dyDescent="0.55000000000000004">
      <c r="A466">
        <v>463</v>
      </c>
      <c r="B466">
        <v>9.5283710418262952</v>
      </c>
      <c r="C466">
        <v>4.4482309818267822</v>
      </c>
      <c r="D466">
        <v>13.440049439351675</v>
      </c>
      <c r="E466">
        <v>9.5283710418262952</v>
      </c>
      <c r="F466">
        <v>4.4482309818267822</v>
      </c>
      <c r="G466">
        <v>13.440049439351675</v>
      </c>
      <c r="H466">
        <v>27.416651463004754</v>
      </c>
    </row>
    <row r="467" spans="1:8" x14ac:dyDescent="0.55000000000000004">
      <c r="A467">
        <v>464</v>
      </c>
      <c r="B467">
        <v>7.940614473636912</v>
      </c>
      <c r="C467">
        <v>3.1858798861503601</v>
      </c>
      <c r="D467">
        <v>12.091965700109139</v>
      </c>
      <c r="E467">
        <v>7.940614473636912</v>
      </c>
      <c r="F467">
        <v>3.1858798861503601</v>
      </c>
      <c r="G467">
        <v>12.091965700109139</v>
      </c>
      <c r="H467">
        <v>23.218460059896412</v>
      </c>
    </row>
    <row r="468" spans="1:8" x14ac:dyDescent="0.55000000000000004">
      <c r="A468">
        <v>465</v>
      </c>
      <c r="B468">
        <v>9.8053189984398763</v>
      </c>
      <c r="C468">
        <v>4.3731802701950073</v>
      </c>
      <c r="D468">
        <v>11.813777046185992</v>
      </c>
      <c r="E468">
        <v>9.8053189984398763</v>
      </c>
      <c r="F468">
        <v>4.3731802701950073</v>
      </c>
      <c r="G468">
        <v>11.813777046185992</v>
      </c>
      <c r="H468">
        <v>25.992276314820877</v>
      </c>
    </row>
    <row r="469" spans="1:8" x14ac:dyDescent="0.55000000000000004">
      <c r="A469">
        <v>466</v>
      </c>
      <c r="B469">
        <v>8.6743663681489203</v>
      </c>
      <c r="C469">
        <v>4.9504082798957825</v>
      </c>
      <c r="D469">
        <v>13.844717378886617</v>
      </c>
      <c r="E469">
        <v>8.6743663681489203</v>
      </c>
      <c r="F469">
        <v>4.9504082798957825</v>
      </c>
      <c r="G469">
        <v>13.844717378886617</v>
      </c>
      <c r="H469">
        <v>27.46949202693132</v>
      </c>
    </row>
    <row r="470" spans="1:8" x14ac:dyDescent="0.55000000000000004">
      <c r="A470">
        <v>467</v>
      </c>
      <c r="B470">
        <v>11.220268480296147</v>
      </c>
      <c r="C470">
        <v>2.4256157875061035</v>
      </c>
      <c r="D470">
        <v>14.374087761004608</v>
      </c>
      <c r="E470">
        <v>11.220268480296147</v>
      </c>
      <c r="F470">
        <v>2.4256157875061035</v>
      </c>
      <c r="G470">
        <v>14.374087761004608</v>
      </c>
      <c r="H470">
        <v>28.019972028806858</v>
      </c>
    </row>
    <row r="471" spans="1:8" x14ac:dyDescent="0.55000000000000004">
      <c r="A471">
        <v>468</v>
      </c>
      <c r="B471">
        <v>10.730693646579994</v>
      </c>
      <c r="C471">
        <v>3.9026913046836853</v>
      </c>
      <c r="D471">
        <v>13.416012878044056</v>
      </c>
      <c r="E471">
        <v>10.730693646579994</v>
      </c>
      <c r="F471">
        <v>3.9026913046836853</v>
      </c>
      <c r="G471">
        <v>13.416012878044056</v>
      </c>
      <c r="H471">
        <v>28.049397829307736</v>
      </c>
    </row>
    <row r="472" spans="1:8" x14ac:dyDescent="0.55000000000000004">
      <c r="A472">
        <v>469</v>
      </c>
      <c r="B472">
        <v>8.7182879084119644</v>
      </c>
      <c r="C472">
        <v>2.4018403291702271</v>
      </c>
      <c r="D472">
        <v>12.106426042098873</v>
      </c>
      <c r="E472">
        <v>8.7182879084119644</v>
      </c>
      <c r="F472">
        <v>2.4018403291702271</v>
      </c>
      <c r="G472">
        <v>12.106426042098873</v>
      </c>
      <c r="H472">
        <v>23.226554279681064</v>
      </c>
    </row>
    <row r="473" spans="1:8" x14ac:dyDescent="0.55000000000000004">
      <c r="A473">
        <v>470</v>
      </c>
      <c r="B473">
        <v>8.9141065615117672</v>
      </c>
      <c r="C473">
        <v>2.0972409844398499</v>
      </c>
      <c r="D473">
        <v>12.29483373902606</v>
      </c>
      <c r="E473">
        <v>8.9141065615117672</v>
      </c>
      <c r="F473">
        <v>2.0972409844398499</v>
      </c>
      <c r="G473">
        <v>12.29483373902606</v>
      </c>
      <c r="H473">
        <v>23.306181284977676</v>
      </c>
    </row>
    <row r="474" spans="1:8" x14ac:dyDescent="0.55000000000000004">
      <c r="A474">
        <v>471</v>
      </c>
      <c r="B474">
        <v>9.9921194626804972</v>
      </c>
      <c r="C474">
        <v>2.8534667491912842</v>
      </c>
      <c r="D474">
        <v>10.23851551984278</v>
      </c>
      <c r="E474">
        <v>9.9921194626804972</v>
      </c>
      <c r="F474">
        <v>2.8534667491912842</v>
      </c>
      <c r="G474">
        <v>10.23851551984278</v>
      </c>
      <c r="H474">
        <v>23.084101731714561</v>
      </c>
    </row>
    <row r="475" spans="1:8" x14ac:dyDescent="0.55000000000000004">
      <c r="A475">
        <v>472</v>
      </c>
      <c r="B475">
        <v>11.584994908218306</v>
      </c>
      <c r="C475">
        <v>2.0076977610588074</v>
      </c>
      <c r="D475">
        <v>12.711834272733038</v>
      </c>
      <c r="E475">
        <v>11.584994908218306</v>
      </c>
      <c r="F475">
        <v>2.0076977610588074</v>
      </c>
      <c r="G475">
        <v>12.711834272733038</v>
      </c>
      <c r="H475">
        <v>26.304526942010149</v>
      </c>
    </row>
    <row r="476" spans="1:8" x14ac:dyDescent="0.55000000000000004">
      <c r="A476">
        <v>473</v>
      </c>
      <c r="B476">
        <v>8.6374573091750637</v>
      </c>
      <c r="C476">
        <v>2.0781406164169312</v>
      </c>
      <c r="D476">
        <v>13.360485725370742</v>
      </c>
      <c r="E476">
        <v>8.6374573091750637</v>
      </c>
      <c r="F476">
        <v>2.0781406164169312</v>
      </c>
      <c r="G476">
        <v>13.360485725370742</v>
      </c>
      <c r="H476">
        <v>24.076083650962737</v>
      </c>
    </row>
    <row r="477" spans="1:8" x14ac:dyDescent="0.55000000000000004">
      <c r="A477">
        <v>474</v>
      </c>
      <c r="B477">
        <v>9.5096885508568505</v>
      </c>
      <c r="C477">
        <v>2.2773187756538391</v>
      </c>
      <c r="D477">
        <v>11.771971916225906</v>
      </c>
      <c r="E477">
        <v>9.5096885508568505</v>
      </c>
      <c r="F477">
        <v>2.2773187756538391</v>
      </c>
      <c r="G477">
        <v>11.771971916225906</v>
      </c>
      <c r="H477">
        <v>23.558979242736598</v>
      </c>
    </row>
    <row r="478" spans="1:8" x14ac:dyDescent="0.55000000000000004">
      <c r="A478">
        <v>475</v>
      </c>
      <c r="B478">
        <v>10.540680830674946</v>
      </c>
      <c r="C478">
        <v>3.3563566207885742</v>
      </c>
      <c r="D478">
        <v>11.327755371717828</v>
      </c>
      <c r="E478">
        <v>10.540680830674946</v>
      </c>
      <c r="F478">
        <v>3.3563566207885742</v>
      </c>
      <c r="G478">
        <v>11.327755371717828</v>
      </c>
      <c r="H478">
        <v>25.224792823181346</v>
      </c>
    </row>
    <row r="479" spans="1:8" x14ac:dyDescent="0.55000000000000004">
      <c r="A479">
        <v>476</v>
      </c>
      <c r="B479">
        <v>9.0104261361913416</v>
      </c>
      <c r="C479">
        <v>4.8249348998069763</v>
      </c>
      <c r="D479">
        <v>12.674929862926476</v>
      </c>
      <c r="E479">
        <v>9.0104261361913416</v>
      </c>
      <c r="F479">
        <v>4.8249348998069763</v>
      </c>
      <c r="G479">
        <v>12.674929862926476</v>
      </c>
      <c r="H479">
        <v>26.510290898924794</v>
      </c>
    </row>
    <row r="480" spans="1:8" x14ac:dyDescent="0.55000000000000004">
      <c r="A480">
        <v>477</v>
      </c>
      <c r="B480">
        <v>11.182056075152531</v>
      </c>
      <c r="C480">
        <v>4.5906187295913696</v>
      </c>
      <c r="D480">
        <v>13.325358051165711</v>
      </c>
      <c r="E480">
        <v>11.182056075152531</v>
      </c>
      <c r="F480">
        <v>4.5906187295913696</v>
      </c>
      <c r="G480">
        <v>13.325358051165711</v>
      </c>
      <c r="H480">
        <v>29.098032855909612</v>
      </c>
    </row>
    <row r="481" spans="1:8" x14ac:dyDescent="0.55000000000000004">
      <c r="A481">
        <v>478</v>
      </c>
      <c r="B481">
        <v>9.8808462061729898</v>
      </c>
      <c r="C481">
        <v>2.0876265168190002</v>
      </c>
      <c r="D481">
        <v>13.091536634341569</v>
      </c>
      <c r="E481">
        <v>9.8808462061729898</v>
      </c>
      <c r="F481">
        <v>2.0876265168190002</v>
      </c>
      <c r="G481">
        <v>13.091536634341569</v>
      </c>
      <c r="H481">
        <v>25.060009357333559</v>
      </c>
    </row>
    <row r="482" spans="1:8" x14ac:dyDescent="0.55000000000000004">
      <c r="A482">
        <v>479</v>
      </c>
      <c r="B482">
        <v>9.7043531676888826</v>
      </c>
      <c r="C482">
        <v>2.2531940937042236</v>
      </c>
      <c r="D482">
        <v>12.714120245807006</v>
      </c>
      <c r="E482">
        <v>9.7043531676888826</v>
      </c>
      <c r="F482">
        <v>2.2531940937042236</v>
      </c>
      <c r="G482">
        <v>12.714120245807006</v>
      </c>
      <c r="H482">
        <v>24.671667507200112</v>
      </c>
    </row>
    <row r="483" spans="1:8" x14ac:dyDescent="0.55000000000000004">
      <c r="A483">
        <v>480</v>
      </c>
      <c r="B483">
        <v>10.775833777387094</v>
      </c>
      <c r="C483">
        <v>3.9313680529594421</v>
      </c>
      <c r="D483">
        <v>12.645457511562624</v>
      </c>
      <c r="E483">
        <v>10.775833777387094</v>
      </c>
      <c r="F483">
        <v>3.9313680529594421</v>
      </c>
      <c r="G483">
        <v>12.645457511562624</v>
      </c>
      <c r="H483">
        <v>27.35265934190916</v>
      </c>
    </row>
    <row r="484" spans="1:8" x14ac:dyDescent="0.55000000000000004">
      <c r="A484">
        <v>481</v>
      </c>
      <c r="B484">
        <v>10.88796643522757</v>
      </c>
      <c r="C484">
        <v>4.2987107038497925</v>
      </c>
      <c r="D484">
        <v>12.329122595721671</v>
      </c>
      <c r="E484">
        <v>10.88796643522757</v>
      </c>
      <c r="F484">
        <v>4.2987107038497925</v>
      </c>
      <c r="G484">
        <v>12.329122595721671</v>
      </c>
      <c r="H484">
        <v>27.515799734799032</v>
      </c>
    </row>
    <row r="485" spans="1:8" x14ac:dyDescent="0.55000000000000004">
      <c r="A485">
        <v>482</v>
      </c>
      <c r="B485">
        <v>7.8402496086456548</v>
      </c>
      <c r="C485">
        <v>2.5108912587165833</v>
      </c>
      <c r="D485">
        <v>13.246580399567383</v>
      </c>
      <c r="E485">
        <v>7.8402496086456548</v>
      </c>
      <c r="F485">
        <v>2.5108912587165833</v>
      </c>
      <c r="G485">
        <v>13.246580399567383</v>
      </c>
      <c r="H485">
        <v>23.597721266929621</v>
      </c>
    </row>
    <row r="486" spans="1:8" x14ac:dyDescent="0.55000000000000004">
      <c r="A486">
        <v>483</v>
      </c>
      <c r="B486">
        <v>10.895827765954083</v>
      </c>
      <c r="C486">
        <v>2.4478487968444824</v>
      </c>
      <c r="D486">
        <v>13.082738552260492</v>
      </c>
      <c r="E486">
        <v>10.895827765954083</v>
      </c>
      <c r="F486">
        <v>2.4478487968444824</v>
      </c>
      <c r="G486">
        <v>13.082738552260492</v>
      </c>
      <c r="H486">
        <v>26.426415115059058</v>
      </c>
    </row>
    <row r="487" spans="1:8" x14ac:dyDescent="0.55000000000000004">
      <c r="A487">
        <v>484</v>
      </c>
      <c r="B487">
        <v>11.7240639847439</v>
      </c>
      <c r="C487">
        <v>2.1100172400474548</v>
      </c>
      <c r="D487">
        <v>11.449062534354487</v>
      </c>
      <c r="E487">
        <v>11.7240639847439</v>
      </c>
      <c r="F487">
        <v>2.1100172400474548</v>
      </c>
      <c r="G487">
        <v>11.449062534354487</v>
      </c>
      <c r="H487">
        <v>25.283143759145844</v>
      </c>
    </row>
    <row r="488" spans="1:8" x14ac:dyDescent="0.55000000000000004">
      <c r="A488">
        <v>485</v>
      </c>
      <c r="B488">
        <v>10.745419219498261</v>
      </c>
      <c r="C488">
        <v>4.9983760118484497</v>
      </c>
      <c r="D488">
        <v>12.805783161701203</v>
      </c>
      <c r="E488">
        <v>10.745419219498261</v>
      </c>
      <c r="F488">
        <v>4.9983760118484497</v>
      </c>
      <c r="G488">
        <v>12.805783161701203</v>
      </c>
      <c r="H488">
        <v>28.549578393047916</v>
      </c>
    </row>
    <row r="489" spans="1:8" x14ac:dyDescent="0.55000000000000004">
      <c r="A489">
        <v>486</v>
      </c>
      <c r="B489">
        <v>9.2979380092831345</v>
      </c>
      <c r="C489">
        <v>4.7437072396278381</v>
      </c>
      <c r="D489">
        <v>12.845065974561704</v>
      </c>
      <c r="E489">
        <v>9.2979380092831345</v>
      </c>
      <c r="F489">
        <v>4.7437072396278381</v>
      </c>
      <c r="G489">
        <v>12.845065974561704</v>
      </c>
      <c r="H489">
        <v>26.886711223472677</v>
      </c>
    </row>
    <row r="490" spans="1:8" x14ac:dyDescent="0.55000000000000004">
      <c r="A490">
        <v>487</v>
      </c>
      <c r="B490">
        <v>8.4187793097779799</v>
      </c>
      <c r="C490">
        <v>4.0697762966156006</v>
      </c>
      <c r="D490">
        <v>12.130192791887978</v>
      </c>
      <c r="E490">
        <v>8.4187793097779799</v>
      </c>
      <c r="F490">
        <v>4.0697762966156006</v>
      </c>
      <c r="G490">
        <v>12.130192791887978</v>
      </c>
      <c r="H490">
        <v>24.618748398281561</v>
      </c>
    </row>
    <row r="491" spans="1:8" x14ac:dyDescent="0.55000000000000004">
      <c r="A491">
        <v>488</v>
      </c>
      <c r="B491">
        <v>11.523776986695589</v>
      </c>
      <c r="C491">
        <v>2.0530821681022644</v>
      </c>
      <c r="D491">
        <v>12.681634274678624</v>
      </c>
      <c r="E491">
        <v>11.523776986695589</v>
      </c>
      <c r="F491">
        <v>2.0530821681022644</v>
      </c>
      <c r="G491">
        <v>12.681634274678624</v>
      </c>
      <c r="H491">
        <v>26.258493429476477</v>
      </c>
    </row>
    <row r="492" spans="1:8" x14ac:dyDescent="0.55000000000000004">
      <c r="A492">
        <v>489</v>
      </c>
      <c r="B492">
        <v>9.1534072588299757</v>
      </c>
      <c r="C492">
        <v>3.9377225637435913</v>
      </c>
      <c r="D492">
        <v>12.981722735906303</v>
      </c>
      <c r="E492">
        <v>9.1534072588299757</v>
      </c>
      <c r="F492">
        <v>3.9377225637435913</v>
      </c>
      <c r="G492">
        <v>12.981722735906303</v>
      </c>
      <c r="H492">
        <v>26.07285255847987</v>
      </c>
    </row>
    <row r="493" spans="1:8" x14ac:dyDescent="0.55000000000000004">
      <c r="A493">
        <v>490</v>
      </c>
      <c r="B493">
        <v>10.200008647779935</v>
      </c>
      <c r="C493">
        <v>3.7746608853340149</v>
      </c>
      <c r="D493">
        <v>10.791556467785536</v>
      </c>
      <c r="E493">
        <v>10.200008647779935</v>
      </c>
      <c r="F493">
        <v>3.7746608853340149</v>
      </c>
      <c r="G493">
        <v>10.791556467785536</v>
      </c>
      <c r="H493">
        <v>24.766226000899486</v>
      </c>
    </row>
    <row r="494" spans="1:8" x14ac:dyDescent="0.55000000000000004">
      <c r="A494">
        <v>491</v>
      </c>
      <c r="B494">
        <v>10.130316317456208</v>
      </c>
      <c r="C494">
        <v>3.8646430969238281</v>
      </c>
      <c r="D494">
        <v>10.896822929864543</v>
      </c>
      <c r="E494">
        <v>10.130316317456208</v>
      </c>
      <c r="F494">
        <v>3.8646430969238281</v>
      </c>
      <c r="G494">
        <v>10.896822929864543</v>
      </c>
      <c r="H494">
        <v>24.891782344244579</v>
      </c>
    </row>
    <row r="495" spans="1:8" x14ac:dyDescent="0.55000000000000004">
      <c r="A495">
        <v>492</v>
      </c>
      <c r="B495">
        <v>10.252751383220609</v>
      </c>
      <c r="C495">
        <v>4.8150672316551208</v>
      </c>
      <c r="D495">
        <v>10.612450492570803</v>
      </c>
      <c r="E495">
        <v>10.252751383220609</v>
      </c>
      <c r="F495">
        <v>4.8150672316551208</v>
      </c>
      <c r="G495">
        <v>10.612450492570803</v>
      </c>
      <c r="H495">
        <v>25.680269107446534</v>
      </c>
    </row>
    <row r="496" spans="1:8" x14ac:dyDescent="0.55000000000000004">
      <c r="A496">
        <v>493</v>
      </c>
      <c r="B496">
        <v>9.5160198662092395</v>
      </c>
      <c r="C496">
        <v>3.5826317071914673</v>
      </c>
      <c r="D496">
        <v>11.453167781405162</v>
      </c>
      <c r="E496">
        <v>9.5160198662092395</v>
      </c>
      <c r="F496">
        <v>3.5826317071914673</v>
      </c>
      <c r="G496">
        <v>11.453167781405162</v>
      </c>
      <c r="H496">
        <v>24.551819354805868</v>
      </c>
    </row>
    <row r="497" spans="1:8" x14ac:dyDescent="0.55000000000000004">
      <c r="A497">
        <v>494</v>
      </c>
      <c r="B497">
        <v>9.6362461177354319</v>
      </c>
      <c r="C497">
        <v>3.7124558091163635</v>
      </c>
      <c r="D497">
        <v>11.357922358836982</v>
      </c>
      <c r="E497">
        <v>9.6362461177354319</v>
      </c>
      <c r="F497">
        <v>3.7124558091163635</v>
      </c>
      <c r="G497">
        <v>11.357922358836982</v>
      </c>
      <c r="H497">
        <v>24.706624285688775</v>
      </c>
    </row>
    <row r="498" spans="1:8" x14ac:dyDescent="0.55000000000000004">
      <c r="A498">
        <v>495</v>
      </c>
      <c r="B498">
        <v>12.159893546892263</v>
      </c>
      <c r="C498">
        <v>4.334951639175415</v>
      </c>
      <c r="D498">
        <v>11.856064389643118</v>
      </c>
      <c r="E498">
        <v>12.159893546892263</v>
      </c>
      <c r="F498">
        <v>4.334951639175415</v>
      </c>
      <c r="G498">
        <v>11.856064389643118</v>
      </c>
      <c r="H498">
        <v>28.350909575710794</v>
      </c>
    </row>
    <row r="499" spans="1:8" x14ac:dyDescent="0.55000000000000004">
      <c r="A499">
        <v>496</v>
      </c>
      <c r="B499">
        <v>9.3746598257224356</v>
      </c>
      <c r="C499">
        <v>3.0159065127372742</v>
      </c>
      <c r="D499">
        <v>13.183319604703883</v>
      </c>
      <c r="E499">
        <v>9.3746598257224356</v>
      </c>
      <c r="F499">
        <v>3.0159065127372742</v>
      </c>
      <c r="G499">
        <v>13.183319604703883</v>
      </c>
      <c r="H499">
        <v>25.573885943163592</v>
      </c>
    </row>
    <row r="500" spans="1:8" x14ac:dyDescent="0.55000000000000004">
      <c r="A500">
        <v>497</v>
      </c>
      <c r="B500">
        <v>10.271450614019583</v>
      </c>
      <c r="C500">
        <v>3.1323832273483276</v>
      </c>
      <c r="D500">
        <v>11.902701624238178</v>
      </c>
      <c r="E500">
        <v>10.271450614019583</v>
      </c>
      <c r="F500">
        <v>3.1323832273483276</v>
      </c>
      <c r="G500">
        <v>11.902701624238178</v>
      </c>
      <c r="H500">
        <v>25.306535465606089</v>
      </c>
    </row>
    <row r="501" spans="1:8" x14ac:dyDescent="0.55000000000000004">
      <c r="A501">
        <v>498</v>
      </c>
      <c r="B501">
        <v>10.547982042624765</v>
      </c>
      <c r="C501">
        <v>3.864037811756134</v>
      </c>
      <c r="D501">
        <v>12.340509708093073</v>
      </c>
      <c r="E501">
        <v>10.547982042624765</v>
      </c>
      <c r="F501">
        <v>3.864037811756134</v>
      </c>
      <c r="G501">
        <v>12.340509708093073</v>
      </c>
      <c r="H501">
        <v>26.752529562473974</v>
      </c>
    </row>
    <row r="502" spans="1:8" x14ac:dyDescent="0.55000000000000004">
      <c r="A502">
        <v>499</v>
      </c>
      <c r="B502">
        <v>9.7278498968273741</v>
      </c>
      <c r="C502">
        <v>2.6306653022766113</v>
      </c>
      <c r="D502">
        <v>12.370331589875178</v>
      </c>
      <c r="E502">
        <v>9.7278498968273741</v>
      </c>
      <c r="F502">
        <v>2.6306653022766113</v>
      </c>
      <c r="G502">
        <v>12.370331589875178</v>
      </c>
      <c r="H502">
        <v>24.728846788979162</v>
      </c>
    </row>
    <row r="503" spans="1:8" x14ac:dyDescent="0.55000000000000004">
      <c r="A503">
        <v>500</v>
      </c>
      <c r="B503">
        <v>10.623558610533319</v>
      </c>
      <c r="C503">
        <v>4.7940887808799744</v>
      </c>
      <c r="D503">
        <v>11.392747694822617</v>
      </c>
      <c r="E503">
        <v>10.623558610533319</v>
      </c>
      <c r="F503">
        <v>4.7940887808799744</v>
      </c>
      <c r="G503">
        <v>11.392747694822617</v>
      </c>
      <c r="H503">
        <v>26.810395086235911</v>
      </c>
    </row>
    <row r="504" spans="1:8" x14ac:dyDescent="0.55000000000000004">
      <c r="A504">
        <v>501</v>
      </c>
      <c r="B504">
        <v>10.166558278826342</v>
      </c>
      <c r="C504">
        <v>2.7852803468704224</v>
      </c>
      <c r="D504">
        <v>14.345895596245837</v>
      </c>
      <c r="E504">
        <v>10.166558278826342</v>
      </c>
      <c r="F504">
        <v>2.7852803468704224</v>
      </c>
      <c r="G504">
        <v>14.345895596245837</v>
      </c>
      <c r="H504">
        <v>27.297734221942601</v>
      </c>
    </row>
    <row r="505" spans="1:8" x14ac:dyDescent="0.55000000000000004">
      <c r="A505">
        <v>502</v>
      </c>
      <c r="B505">
        <v>10.62444115560432</v>
      </c>
      <c r="C505">
        <v>3.5627198815345764</v>
      </c>
      <c r="D505">
        <v>12.445011261668082</v>
      </c>
      <c r="E505">
        <v>10.62444115560432</v>
      </c>
      <c r="F505">
        <v>3.5627198815345764</v>
      </c>
      <c r="G505">
        <v>12.445011261668082</v>
      </c>
      <c r="H505">
        <v>26.632172298806978</v>
      </c>
    </row>
    <row r="506" spans="1:8" x14ac:dyDescent="0.55000000000000004">
      <c r="A506">
        <v>503</v>
      </c>
      <c r="B506">
        <v>10.064524937960424</v>
      </c>
      <c r="C506">
        <v>4.189833402633667</v>
      </c>
      <c r="D506">
        <v>10.62325281070178</v>
      </c>
      <c r="E506">
        <v>10.064524937960424</v>
      </c>
      <c r="F506">
        <v>4.189833402633667</v>
      </c>
      <c r="G506">
        <v>10.62325281070178</v>
      </c>
      <c r="H506">
        <v>24.877611151295874</v>
      </c>
    </row>
    <row r="507" spans="1:8" x14ac:dyDescent="0.55000000000000004">
      <c r="A507">
        <v>504</v>
      </c>
      <c r="B507">
        <v>10.20215800136215</v>
      </c>
      <c r="C507">
        <v>4.5097824931144714</v>
      </c>
      <c r="D507">
        <v>12.17682860234595</v>
      </c>
      <c r="E507">
        <v>10.20215800136215</v>
      </c>
      <c r="F507">
        <v>4.5097824931144714</v>
      </c>
      <c r="G507">
        <v>12.17682860234595</v>
      </c>
      <c r="H507">
        <v>26.888769096822571</v>
      </c>
    </row>
    <row r="508" spans="1:8" x14ac:dyDescent="0.55000000000000004">
      <c r="A508">
        <v>505</v>
      </c>
      <c r="B508">
        <v>10.429550312059991</v>
      </c>
      <c r="C508">
        <v>2.7542747259140015</v>
      </c>
      <c r="D508">
        <v>12.247789458597286</v>
      </c>
      <c r="E508">
        <v>10.429550312059991</v>
      </c>
      <c r="F508">
        <v>2.7542747259140015</v>
      </c>
      <c r="G508">
        <v>12.247789458597286</v>
      </c>
      <c r="H508">
        <v>25.431614496571278</v>
      </c>
    </row>
    <row r="509" spans="1:8" x14ac:dyDescent="0.55000000000000004">
      <c r="A509">
        <v>506</v>
      </c>
      <c r="B509">
        <v>11.512252811445874</v>
      </c>
      <c r="C509">
        <v>4.7463071942329407</v>
      </c>
      <c r="D509">
        <v>13.299564139759493</v>
      </c>
      <c r="E509">
        <v>11.512252811445874</v>
      </c>
      <c r="F509">
        <v>4.7463071942329407</v>
      </c>
      <c r="G509">
        <v>13.299564139759493</v>
      </c>
      <c r="H509">
        <v>29.55812414543831</v>
      </c>
    </row>
    <row r="510" spans="1:8" x14ac:dyDescent="0.55000000000000004">
      <c r="A510">
        <v>507</v>
      </c>
      <c r="B510">
        <v>9.8850970033544705</v>
      </c>
      <c r="C510">
        <v>4.129216194152832</v>
      </c>
      <c r="D510">
        <v>10.569889800311074</v>
      </c>
      <c r="E510">
        <v>9.8850970033544705</v>
      </c>
      <c r="F510">
        <v>4.129216194152832</v>
      </c>
      <c r="G510">
        <v>10.569889800311074</v>
      </c>
      <c r="H510">
        <v>24.584202997818377</v>
      </c>
    </row>
    <row r="511" spans="1:8" x14ac:dyDescent="0.55000000000000004">
      <c r="A511">
        <v>508</v>
      </c>
      <c r="B511">
        <v>10.547805315708079</v>
      </c>
      <c r="C511">
        <v>2.1979607939720154</v>
      </c>
      <c r="D511">
        <v>13.399729994369858</v>
      </c>
      <c r="E511">
        <v>10.547805315708079</v>
      </c>
      <c r="F511">
        <v>2.1979607939720154</v>
      </c>
      <c r="G511">
        <v>13.399729994369858</v>
      </c>
      <c r="H511">
        <v>26.145496104049954</v>
      </c>
    </row>
    <row r="512" spans="1:8" x14ac:dyDescent="0.55000000000000004">
      <c r="A512">
        <v>509</v>
      </c>
      <c r="B512">
        <v>10.257347966928931</v>
      </c>
      <c r="C512">
        <v>3.0325914621353149</v>
      </c>
      <c r="D512">
        <v>12.031628532449359</v>
      </c>
      <c r="E512">
        <v>10.257347966928931</v>
      </c>
      <c r="F512">
        <v>3.0325914621353149</v>
      </c>
      <c r="G512">
        <v>12.031628532449359</v>
      </c>
      <c r="H512">
        <v>25.321567961513605</v>
      </c>
    </row>
    <row r="513" spans="1:8" x14ac:dyDescent="0.55000000000000004">
      <c r="A513">
        <v>510</v>
      </c>
      <c r="B513">
        <v>11.165185460488681</v>
      </c>
      <c r="C513">
        <v>3.2852221131324768</v>
      </c>
      <c r="D513">
        <v>11.050935074562089</v>
      </c>
      <c r="E513">
        <v>11.165185460488681</v>
      </c>
      <c r="F513">
        <v>3.2852221131324768</v>
      </c>
      <c r="G513">
        <v>11.050935074562089</v>
      </c>
      <c r="H513">
        <v>25.501342648183247</v>
      </c>
    </row>
    <row r="514" spans="1:8" x14ac:dyDescent="0.55000000000000004">
      <c r="A514">
        <v>511</v>
      </c>
      <c r="B514">
        <v>9.8230364307522446</v>
      </c>
      <c r="C514">
        <v>2.3849098682403564</v>
      </c>
      <c r="D514">
        <v>12.278297744696717</v>
      </c>
      <c r="E514">
        <v>9.8230364307522446</v>
      </c>
      <c r="F514">
        <v>2.3849098682403564</v>
      </c>
      <c r="G514">
        <v>12.278297744696717</v>
      </c>
      <c r="H514">
        <v>24.486244043689318</v>
      </c>
    </row>
    <row r="515" spans="1:8" x14ac:dyDescent="0.55000000000000004">
      <c r="A515">
        <v>512</v>
      </c>
      <c r="B515">
        <v>8.9290228132939831</v>
      </c>
      <c r="C515">
        <v>2.7715265154838562</v>
      </c>
      <c r="D515">
        <v>14.217213805863379</v>
      </c>
      <c r="E515">
        <v>8.9290228132939831</v>
      </c>
      <c r="F515">
        <v>2.7715265154838562</v>
      </c>
      <c r="G515">
        <v>14.217213805863379</v>
      </c>
      <c r="H515">
        <v>25.91776313464122</v>
      </c>
    </row>
    <row r="516" spans="1:8" x14ac:dyDescent="0.55000000000000004">
      <c r="A516">
        <v>513</v>
      </c>
      <c r="B516">
        <v>10.740285413044342</v>
      </c>
      <c r="C516">
        <v>3.9093540906906128</v>
      </c>
      <c r="D516">
        <v>13.440537257551208</v>
      </c>
      <c r="E516">
        <v>10.740285413044342</v>
      </c>
      <c r="F516">
        <v>3.9093540906906128</v>
      </c>
      <c r="G516">
        <v>13.440537257551208</v>
      </c>
      <c r="H516">
        <v>28.090176761286163</v>
      </c>
    </row>
    <row r="517" spans="1:8" x14ac:dyDescent="0.55000000000000004">
      <c r="A517">
        <v>514</v>
      </c>
      <c r="B517">
        <v>8.8247879419991015</v>
      </c>
      <c r="C517">
        <v>2.0606291890144348</v>
      </c>
      <c r="D517">
        <v>11.472442044735127</v>
      </c>
      <c r="E517">
        <v>8.8247879419991015</v>
      </c>
      <c r="F517">
        <v>2.0606291890144348</v>
      </c>
      <c r="G517">
        <v>11.472442044735127</v>
      </c>
      <c r="H517">
        <v>22.357859175748665</v>
      </c>
    </row>
    <row r="518" spans="1:8" x14ac:dyDescent="0.55000000000000004">
      <c r="A518">
        <v>515</v>
      </c>
      <c r="B518">
        <v>12.494273587331651</v>
      </c>
      <c r="C518">
        <v>4.6029715538024902</v>
      </c>
      <c r="D518">
        <v>12.202786503395769</v>
      </c>
      <c r="E518">
        <v>12.494273587331651</v>
      </c>
      <c r="F518">
        <v>4.6029715538024902</v>
      </c>
      <c r="G518">
        <v>12.202786503395769</v>
      </c>
      <c r="H518">
        <v>29.300031644529909</v>
      </c>
    </row>
    <row r="519" spans="1:8" x14ac:dyDescent="0.55000000000000004">
      <c r="A519">
        <v>516</v>
      </c>
      <c r="B519">
        <v>8.5650718842908997</v>
      </c>
      <c r="C519">
        <v>3.9744371771812439</v>
      </c>
      <c r="D519">
        <v>12.780000823381938</v>
      </c>
      <c r="E519">
        <v>8.5650718842908997</v>
      </c>
      <c r="F519">
        <v>3.9744371771812439</v>
      </c>
      <c r="G519">
        <v>12.780000823381938</v>
      </c>
      <c r="H519">
        <v>25.319509884854082</v>
      </c>
    </row>
    <row r="520" spans="1:8" x14ac:dyDescent="0.55000000000000004">
      <c r="A520">
        <v>517</v>
      </c>
      <c r="B520">
        <v>7.6648057723962415</v>
      </c>
      <c r="C520">
        <v>4.235209584236145</v>
      </c>
      <c r="D520">
        <v>11.9435947601539</v>
      </c>
      <c r="E520">
        <v>7.6648057723962415</v>
      </c>
      <c r="F520">
        <v>4.235209584236145</v>
      </c>
      <c r="G520">
        <v>11.9435947601539</v>
      </c>
      <c r="H520">
        <v>23.843610116786287</v>
      </c>
    </row>
    <row r="521" spans="1:8" x14ac:dyDescent="0.55000000000000004">
      <c r="A521">
        <v>518</v>
      </c>
      <c r="B521">
        <v>9.6892996271378848</v>
      </c>
      <c r="C521">
        <v>3.7925601601600647</v>
      </c>
      <c r="D521">
        <v>12.411356794275154</v>
      </c>
      <c r="E521">
        <v>9.6892996271378848</v>
      </c>
      <c r="F521">
        <v>3.7925601601600647</v>
      </c>
      <c r="G521">
        <v>12.411356794275154</v>
      </c>
      <c r="H521">
        <v>25.893216581573103</v>
      </c>
    </row>
    <row r="522" spans="1:8" x14ac:dyDescent="0.55000000000000004">
      <c r="A522">
        <v>519</v>
      </c>
      <c r="B522">
        <v>9.5790071390228597</v>
      </c>
      <c r="C522">
        <v>2.7800443172454834</v>
      </c>
      <c r="D522">
        <v>12.218520045410802</v>
      </c>
      <c r="E522">
        <v>9.5790071390228597</v>
      </c>
      <c r="F522">
        <v>2.7800443172454834</v>
      </c>
      <c r="G522">
        <v>12.218520045410802</v>
      </c>
      <c r="H522">
        <v>24.577571501679145</v>
      </c>
    </row>
    <row r="523" spans="1:8" x14ac:dyDescent="0.55000000000000004">
      <c r="A523">
        <v>520</v>
      </c>
      <c r="B523">
        <v>9.0384658909279239</v>
      </c>
      <c r="C523">
        <v>3.0848299860954285</v>
      </c>
      <c r="D523">
        <v>13.408192078798393</v>
      </c>
      <c r="E523">
        <v>9.0384658909279239</v>
      </c>
      <c r="F523">
        <v>3.0848299860954285</v>
      </c>
      <c r="G523">
        <v>13.408192078798393</v>
      </c>
      <c r="H523">
        <v>25.531487955821746</v>
      </c>
    </row>
    <row r="524" spans="1:8" x14ac:dyDescent="0.55000000000000004">
      <c r="A524">
        <v>521</v>
      </c>
      <c r="B524">
        <v>10.199948745048186</v>
      </c>
      <c r="C524">
        <v>3.4379533529281616</v>
      </c>
      <c r="D524">
        <v>11.554507412855671</v>
      </c>
      <c r="E524">
        <v>10.199948745048186</v>
      </c>
      <c r="F524">
        <v>3.4379533529281616</v>
      </c>
      <c r="G524">
        <v>11.554507412855671</v>
      </c>
      <c r="H524">
        <v>25.192409510832018</v>
      </c>
    </row>
    <row r="525" spans="1:8" x14ac:dyDescent="0.55000000000000004">
      <c r="A525">
        <v>522</v>
      </c>
      <c r="B525">
        <v>11.671432900811553</v>
      </c>
      <c r="C525">
        <v>4.6180389523506165</v>
      </c>
      <c r="D525">
        <v>11.667909714951689</v>
      </c>
      <c r="E525">
        <v>11.671432900811553</v>
      </c>
      <c r="F525">
        <v>4.6180389523506165</v>
      </c>
      <c r="G525">
        <v>11.667909714951689</v>
      </c>
      <c r="H525">
        <v>27.95738156811386</v>
      </c>
    </row>
    <row r="526" spans="1:8" x14ac:dyDescent="0.55000000000000004">
      <c r="A526">
        <v>523</v>
      </c>
      <c r="B526">
        <v>11.334544259677216</v>
      </c>
      <c r="C526">
        <v>4.6539821624755859</v>
      </c>
      <c r="D526">
        <v>11.760062748321454</v>
      </c>
      <c r="E526">
        <v>11.334544259677216</v>
      </c>
      <c r="F526">
        <v>4.6539821624755859</v>
      </c>
      <c r="G526">
        <v>11.760062748321454</v>
      </c>
      <c r="H526">
        <v>27.748589170474254</v>
      </c>
    </row>
    <row r="527" spans="1:8" x14ac:dyDescent="0.55000000000000004">
      <c r="A527">
        <v>524</v>
      </c>
      <c r="B527">
        <v>8.6691069402574925</v>
      </c>
      <c r="C527">
        <v>4.3681468367576599</v>
      </c>
      <c r="D527">
        <v>12.335287559342365</v>
      </c>
      <c r="E527">
        <v>8.6691069402574925</v>
      </c>
      <c r="F527">
        <v>4.3681468367576599</v>
      </c>
      <c r="G527">
        <v>12.335287559342365</v>
      </c>
      <c r="H527">
        <v>25.372541336357518</v>
      </c>
    </row>
    <row r="528" spans="1:8" x14ac:dyDescent="0.55000000000000004">
      <c r="A528">
        <v>525</v>
      </c>
      <c r="B528">
        <v>9.735732295099794</v>
      </c>
      <c r="C528">
        <v>4.2881542444229126</v>
      </c>
      <c r="D528">
        <v>12.553197674716092</v>
      </c>
      <c r="E528">
        <v>9.735732295099794</v>
      </c>
      <c r="F528">
        <v>4.2881542444229126</v>
      </c>
      <c r="G528">
        <v>12.553197674716092</v>
      </c>
      <c r="H528">
        <v>26.577084214238798</v>
      </c>
    </row>
    <row r="529" spans="1:8" x14ac:dyDescent="0.55000000000000004">
      <c r="A529">
        <v>526</v>
      </c>
      <c r="B529">
        <v>9.7448843976511643</v>
      </c>
      <c r="C529">
        <v>3.4192066788673401</v>
      </c>
      <c r="D529">
        <v>12.484965233711296</v>
      </c>
      <c r="E529">
        <v>9.7448843976511643</v>
      </c>
      <c r="F529">
        <v>3.4192066788673401</v>
      </c>
      <c r="G529">
        <v>12.484965233711296</v>
      </c>
      <c r="H529">
        <v>25.649056310229803</v>
      </c>
    </row>
    <row r="530" spans="1:8" x14ac:dyDescent="0.55000000000000004">
      <c r="A530">
        <v>527</v>
      </c>
      <c r="B530">
        <v>9.4106716865473636</v>
      </c>
      <c r="C530">
        <v>3.8444750308990479</v>
      </c>
      <c r="D530">
        <v>14.405889670638414</v>
      </c>
      <c r="E530">
        <v>9.4106716865473636</v>
      </c>
      <c r="F530">
        <v>3.8444750308990479</v>
      </c>
      <c r="G530">
        <v>14.405889670638414</v>
      </c>
      <c r="H530">
        <v>27.661036388084824</v>
      </c>
    </row>
    <row r="531" spans="1:8" x14ac:dyDescent="0.55000000000000004">
      <c r="A531">
        <v>528</v>
      </c>
      <c r="B531">
        <v>9.5537074971180616</v>
      </c>
      <c r="C531">
        <v>3.2802593111991882</v>
      </c>
      <c r="D531">
        <v>12.2399513082031</v>
      </c>
      <c r="E531">
        <v>9.5537074971180616</v>
      </c>
      <c r="F531">
        <v>3.2802593111991882</v>
      </c>
      <c r="G531">
        <v>12.2399513082031</v>
      </c>
      <c r="H531">
        <v>25.07391811652035</v>
      </c>
    </row>
    <row r="532" spans="1:8" x14ac:dyDescent="0.55000000000000004">
      <c r="A532">
        <v>529</v>
      </c>
      <c r="B532">
        <v>10.044986133695531</v>
      </c>
      <c r="C532">
        <v>4.4147795438766479</v>
      </c>
      <c r="D532">
        <v>11.407318345199842</v>
      </c>
      <c r="E532">
        <v>10.044986133695531</v>
      </c>
      <c r="F532">
        <v>4.4147795438766479</v>
      </c>
      <c r="G532">
        <v>11.407318345199842</v>
      </c>
      <c r="H532">
        <v>25.867084022772019</v>
      </c>
    </row>
    <row r="533" spans="1:8" x14ac:dyDescent="0.55000000000000004">
      <c r="A533">
        <v>530</v>
      </c>
      <c r="B533">
        <v>9.8744294288704122</v>
      </c>
      <c r="C533">
        <v>2.9014466404914856</v>
      </c>
      <c r="D533">
        <v>11.468014959285094</v>
      </c>
      <c r="E533">
        <v>9.8744294288704122</v>
      </c>
      <c r="F533">
        <v>2.9014466404914856</v>
      </c>
      <c r="G533">
        <v>11.468014959285094</v>
      </c>
      <c r="H533">
        <v>24.243891028646992</v>
      </c>
    </row>
    <row r="534" spans="1:8" x14ac:dyDescent="0.55000000000000004">
      <c r="A534">
        <v>531</v>
      </c>
      <c r="B534">
        <v>9.2896036045648085</v>
      </c>
      <c r="C534">
        <v>4.7436738014221191</v>
      </c>
      <c r="D534">
        <v>14.392976603319457</v>
      </c>
      <c r="E534">
        <v>9.2896036045648085</v>
      </c>
      <c r="F534">
        <v>4.7436738014221191</v>
      </c>
      <c r="G534">
        <v>14.392976603319457</v>
      </c>
      <c r="H534">
        <v>28.426254009306383</v>
      </c>
    </row>
    <row r="535" spans="1:8" x14ac:dyDescent="0.55000000000000004">
      <c r="A535">
        <v>532</v>
      </c>
      <c r="B535">
        <v>9.2089528097483697</v>
      </c>
      <c r="C535">
        <v>4.4205936789512634</v>
      </c>
      <c r="D535">
        <v>13.179672535970086</v>
      </c>
      <c r="E535">
        <v>9.2089528097483697</v>
      </c>
      <c r="F535">
        <v>4.4205936789512634</v>
      </c>
      <c r="G535">
        <v>13.179672535970086</v>
      </c>
      <c r="H535">
        <v>26.809219024669719</v>
      </c>
    </row>
    <row r="536" spans="1:8" x14ac:dyDescent="0.55000000000000004">
      <c r="A536">
        <v>533</v>
      </c>
      <c r="B536">
        <v>11.176041912939525</v>
      </c>
      <c r="C536">
        <v>3.5708199739456177</v>
      </c>
      <c r="D536">
        <v>11.436871391182342</v>
      </c>
      <c r="E536">
        <v>11.176041912939525</v>
      </c>
      <c r="F536">
        <v>3.5708199739456177</v>
      </c>
      <c r="G536">
        <v>11.436871391182342</v>
      </c>
      <c r="H536">
        <v>26.183733278067486</v>
      </c>
    </row>
    <row r="537" spans="1:8" x14ac:dyDescent="0.55000000000000004">
      <c r="A537">
        <v>534</v>
      </c>
      <c r="B537">
        <v>9.1057290856998172</v>
      </c>
      <c r="C537">
        <v>2.421509325504303</v>
      </c>
      <c r="D537">
        <v>11.799346550905051</v>
      </c>
      <c r="E537">
        <v>9.1057290856998172</v>
      </c>
      <c r="F537">
        <v>2.421509325504303</v>
      </c>
      <c r="G537">
        <v>11.799346550905051</v>
      </c>
      <c r="H537">
        <v>23.326584962109173</v>
      </c>
    </row>
    <row r="538" spans="1:8" x14ac:dyDescent="0.55000000000000004">
      <c r="A538">
        <v>535</v>
      </c>
      <c r="B538">
        <v>9.0614322622444359</v>
      </c>
      <c r="C538">
        <v>3.1568152904510498</v>
      </c>
      <c r="D538">
        <v>13.071003454567427</v>
      </c>
      <c r="E538">
        <v>9.0614322622444359</v>
      </c>
      <c r="F538">
        <v>3.1568152904510498</v>
      </c>
      <c r="G538">
        <v>13.071003454567427</v>
      </c>
      <c r="H538">
        <v>25.289251007262912</v>
      </c>
    </row>
    <row r="539" spans="1:8" x14ac:dyDescent="0.55000000000000004">
      <c r="A539">
        <v>536</v>
      </c>
      <c r="B539">
        <v>9.3042792639309582</v>
      </c>
      <c r="C539">
        <v>4.2352558970451355</v>
      </c>
      <c r="D539">
        <v>12.802909756348253</v>
      </c>
      <c r="E539">
        <v>9.3042792639309582</v>
      </c>
      <c r="F539">
        <v>4.2352558970451355</v>
      </c>
      <c r="G539">
        <v>12.802909756348253</v>
      </c>
      <c r="H539">
        <v>26.342444917324347</v>
      </c>
    </row>
    <row r="540" spans="1:8" x14ac:dyDescent="0.55000000000000004">
      <c r="A540">
        <v>537</v>
      </c>
      <c r="B540">
        <v>9.4095903226691409</v>
      </c>
      <c r="C540">
        <v>2.6489146947860718</v>
      </c>
      <c r="D540">
        <v>11.842312236054042</v>
      </c>
      <c r="E540">
        <v>9.4095903226691409</v>
      </c>
      <c r="F540">
        <v>2.6489146947860718</v>
      </c>
      <c r="G540">
        <v>11.842312236054042</v>
      </c>
      <c r="H540">
        <v>23.900817253509253</v>
      </c>
    </row>
    <row r="541" spans="1:8" x14ac:dyDescent="0.55000000000000004">
      <c r="A541">
        <v>538</v>
      </c>
      <c r="B541">
        <v>9.8925900465375189</v>
      </c>
      <c r="C541">
        <v>3.5656374096870422</v>
      </c>
      <c r="D541">
        <v>12.143423856161242</v>
      </c>
      <c r="E541">
        <v>9.8925900465375189</v>
      </c>
      <c r="F541">
        <v>3.5656374096870422</v>
      </c>
      <c r="G541">
        <v>12.143423856161242</v>
      </c>
      <c r="H541">
        <v>25.601651312385805</v>
      </c>
    </row>
    <row r="542" spans="1:8" x14ac:dyDescent="0.55000000000000004">
      <c r="A542">
        <v>539</v>
      </c>
      <c r="B542">
        <v>10.418240406711039</v>
      </c>
      <c r="C542">
        <v>3.6928472518920898</v>
      </c>
      <c r="D542">
        <v>12.100914372113591</v>
      </c>
      <c r="E542">
        <v>10.418240406711039</v>
      </c>
      <c r="F542">
        <v>3.6928472518920898</v>
      </c>
      <c r="G542">
        <v>12.100914372113591</v>
      </c>
      <c r="H542">
        <v>26.212002030716718</v>
      </c>
    </row>
    <row r="543" spans="1:8" x14ac:dyDescent="0.55000000000000004">
      <c r="A543">
        <v>540</v>
      </c>
      <c r="B543">
        <v>10.268423347110982</v>
      </c>
      <c r="C543">
        <v>4.4701566100120544</v>
      </c>
      <c r="D543">
        <v>13.722870310950022</v>
      </c>
      <c r="E543">
        <v>10.268423347110982</v>
      </c>
      <c r="F543">
        <v>4.4701566100120544</v>
      </c>
      <c r="G543">
        <v>13.722870310950022</v>
      </c>
      <c r="H543">
        <v>28.461450268073058</v>
      </c>
    </row>
    <row r="544" spans="1:8" x14ac:dyDescent="0.55000000000000004">
      <c r="A544">
        <v>541</v>
      </c>
      <c r="B544">
        <v>10.251456615481644</v>
      </c>
      <c r="C544">
        <v>3.4469763040542603</v>
      </c>
      <c r="D544">
        <v>11.447898201401607</v>
      </c>
      <c r="E544">
        <v>10.251456615481644</v>
      </c>
      <c r="F544">
        <v>3.4469763040542603</v>
      </c>
      <c r="G544">
        <v>11.447898201401607</v>
      </c>
      <c r="H544">
        <v>25.146331120937511</v>
      </c>
    </row>
    <row r="545" spans="1:8" x14ac:dyDescent="0.55000000000000004">
      <c r="A545">
        <v>542</v>
      </c>
      <c r="B545">
        <v>10.147436539814525</v>
      </c>
      <c r="C545">
        <v>4.4776907563209534</v>
      </c>
      <c r="D545">
        <v>13.663650843817296</v>
      </c>
      <c r="E545">
        <v>10.147436539814525</v>
      </c>
      <c r="F545">
        <v>4.4776907563209534</v>
      </c>
      <c r="G545">
        <v>13.663650843817296</v>
      </c>
      <c r="H545">
        <v>28.288778139952775</v>
      </c>
    </row>
    <row r="546" spans="1:8" x14ac:dyDescent="0.55000000000000004">
      <c r="A546">
        <v>543</v>
      </c>
      <c r="B546">
        <v>9.58031931577516</v>
      </c>
      <c r="C546">
        <v>4.9050533771514893</v>
      </c>
      <c r="D546">
        <v>13.476585094912901</v>
      </c>
      <c r="E546">
        <v>9.58031931577516</v>
      </c>
      <c r="F546">
        <v>4.9050533771514893</v>
      </c>
      <c r="G546">
        <v>13.476585094912901</v>
      </c>
      <c r="H546">
        <v>27.961957787839552</v>
      </c>
    </row>
    <row r="547" spans="1:8" x14ac:dyDescent="0.55000000000000004">
      <c r="A547">
        <v>544</v>
      </c>
      <c r="B547">
        <v>12.351540956387783</v>
      </c>
      <c r="C547">
        <v>2.3741361498832703</v>
      </c>
      <c r="D547">
        <v>14.161912847771832</v>
      </c>
      <c r="E547">
        <v>12.351540956387783</v>
      </c>
      <c r="F547">
        <v>2.3741361498832703</v>
      </c>
      <c r="G547">
        <v>14.161912847771832</v>
      </c>
      <c r="H547">
        <v>28.887589954042888</v>
      </c>
    </row>
    <row r="548" spans="1:8" x14ac:dyDescent="0.55000000000000004">
      <c r="A548">
        <v>545</v>
      </c>
      <c r="B548">
        <v>9.5163981019390551</v>
      </c>
      <c r="C548">
        <v>3.1838158369064331</v>
      </c>
      <c r="D548">
        <v>14.040854939483983</v>
      </c>
      <c r="E548">
        <v>9.5163981019390551</v>
      </c>
      <c r="F548">
        <v>3.1838158369064331</v>
      </c>
      <c r="G548">
        <v>14.040854939483983</v>
      </c>
      <c r="H548">
        <v>26.741068878329472</v>
      </c>
    </row>
    <row r="549" spans="1:8" x14ac:dyDescent="0.55000000000000004">
      <c r="A549">
        <v>546</v>
      </c>
      <c r="B549">
        <v>8.9532592914981226</v>
      </c>
      <c r="C549">
        <v>3.9372714161872864</v>
      </c>
      <c r="D549">
        <v>11.140340064006509</v>
      </c>
      <c r="E549">
        <v>8.9532592914981226</v>
      </c>
      <c r="F549">
        <v>3.9372714161872864</v>
      </c>
      <c r="G549">
        <v>11.140340064006509</v>
      </c>
      <c r="H549">
        <v>24.030870771691916</v>
      </c>
    </row>
    <row r="550" spans="1:8" x14ac:dyDescent="0.55000000000000004">
      <c r="A550">
        <v>547</v>
      </c>
      <c r="B550">
        <v>13.080540197413086</v>
      </c>
      <c r="C550">
        <v>3.181678295135498</v>
      </c>
      <c r="D550">
        <v>12.817748439614133</v>
      </c>
      <c r="E550">
        <v>13.080540197413086</v>
      </c>
      <c r="F550">
        <v>3.181678295135498</v>
      </c>
      <c r="G550">
        <v>12.817748439614133</v>
      </c>
      <c r="H550">
        <v>29.079966932162719</v>
      </c>
    </row>
    <row r="551" spans="1:8" x14ac:dyDescent="0.55000000000000004">
      <c r="A551">
        <v>548</v>
      </c>
      <c r="B551">
        <v>10.332974694416434</v>
      </c>
      <c r="C551">
        <v>2.652089536190033</v>
      </c>
      <c r="D551">
        <v>13.797840803304519</v>
      </c>
      <c r="E551">
        <v>10.332974694416434</v>
      </c>
      <c r="F551">
        <v>2.652089536190033</v>
      </c>
      <c r="G551">
        <v>13.797840803304519</v>
      </c>
      <c r="H551">
        <v>26.782905033910986</v>
      </c>
    </row>
    <row r="552" spans="1:8" x14ac:dyDescent="0.55000000000000004">
      <c r="A552">
        <v>549</v>
      </c>
      <c r="B552">
        <v>9.1754650454415643</v>
      </c>
      <c r="C552">
        <v>4.7647677659988403</v>
      </c>
      <c r="D552">
        <v>10.402267152476268</v>
      </c>
      <c r="E552">
        <v>9.1754650454415643</v>
      </c>
      <c r="F552">
        <v>4.7647677659988403</v>
      </c>
      <c r="G552">
        <v>10.402267152476268</v>
      </c>
      <c r="H552">
        <v>24.342499963916673</v>
      </c>
    </row>
    <row r="553" spans="1:8" x14ac:dyDescent="0.55000000000000004">
      <c r="A553">
        <v>550</v>
      </c>
      <c r="B553">
        <v>9.7936854694545996</v>
      </c>
      <c r="C553">
        <v>3.1878486275672913</v>
      </c>
      <c r="D553">
        <v>13.243355694164547</v>
      </c>
      <c r="E553">
        <v>9.7936854694545996</v>
      </c>
      <c r="F553">
        <v>3.1878486275672913</v>
      </c>
      <c r="G553">
        <v>13.243355694164547</v>
      </c>
      <c r="H553">
        <v>26.224889791186438</v>
      </c>
    </row>
    <row r="554" spans="1:8" x14ac:dyDescent="0.55000000000000004">
      <c r="A554">
        <v>551</v>
      </c>
      <c r="B554">
        <v>11.889779434840712</v>
      </c>
      <c r="C554">
        <v>3.3865525722503662</v>
      </c>
      <c r="D554">
        <v>10.753715925948971</v>
      </c>
      <c r="E554">
        <v>11.889779434840712</v>
      </c>
      <c r="F554">
        <v>3.3865525722503662</v>
      </c>
      <c r="G554">
        <v>10.753715925948971</v>
      </c>
      <c r="H554">
        <v>26.030047933040048</v>
      </c>
    </row>
    <row r="555" spans="1:8" x14ac:dyDescent="0.55000000000000004">
      <c r="A555">
        <v>552</v>
      </c>
      <c r="B555">
        <v>10.249601490311862</v>
      </c>
      <c r="C555">
        <v>3.1680914759635925</v>
      </c>
      <c r="D555">
        <v>11.446357555428934</v>
      </c>
      <c r="E555">
        <v>10.249601490311862</v>
      </c>
      <c r="F555">
        <v>3.1680914759635925</v>
      </c>
      <c r="G555">
        <v>11.446357555428934</v>
      </c>
      <c r="H555">
        <v>24.864050521704389</v>
      </c>
    </row>
    <row r="556" spans="1:8" x14ac:dyDescent="0.55000000000000004">
      <c r="A556">
        <v>553</v>
      </c>
      <c r="B556">
        <v>9.6166695786467038</v>
      </c>
      <c r="C556">
        <v>3.7973150014877319</v>
      </c>
      <c r="D556">
        <v>12.023599193489261</v>
      </c>
      <c r="E556">
        <v>9.6166695786467038</v>
      </c>
      <c r="F556">
        <v>3.7973150014877319</v>
      </c>
      <c r="G556">
        <v>12.023599193489261</v>
      </c>
      <c r="H556">
        <v>25.437583773623697</v>
      </c>
    </row>
    <row r="557" spans="1:8" x14ac:dyDescent="0.55000000000000004">
      <c r="A557">
        <v>554</v>
      </c>
      <c r="B557">
        <v>10.056765270240666</v>
      </c>
      <c r="C557">
        <v>2.514883816242218</v>
      </c>
      <c r="D557">
        <v>12.463627523612907</v>
      </c>
      <c r="E557">
        <v>10.056765270240666</v>
      </c>
      <c r="F557">
        <v>2.514883816242218</v>
      </c>
      <c r="G557">
        <v>12.463627523612907</v>
      </c>
      <c r="H557">
        <v>25.035276610095792</v>
      </c>
    </row>
    <row r="558" spans="1:8" x14ac:dyDescent="0.55000000000000004">
      <c r="A558">
        <v>555</v>
      </c>
      <c r="B558">
        <v>10.552613783485278</v>
      </c>
      <c r="C558">
        <v>3.2497177124023438</v>
      </c>
      <c r="D558">
        <v>11.412570102606209</v>
      </c>
      <c r="E558">
        <v>10.552613783485278</v>
      </c>
      <c r="F558">
        <v>3.2497177124023438</v>
      </c>
      <c r="G558">
        <v>11.412570102606209</v>
      </c>
      <c r="H558">
        <v>25.214901598493832</v>
      </c>
    </row>
    <row r="559" spans="1:8" x14ac:dyDescent="0.55000000000000004">
      <c r="A559">
        <v>556</v>
      </c>
      <c r="B559">
        <v>9.6312564671461232</v>
      </c>
      <c r="C559">
        <v>2.398521363735199</v>
      </c>
      <c r="D559">
        <v>14.011978545429571</v>
      </c>
      <c r="E559">
        <v>9.6312564671461232</v>
      </c>
      <c r="F559">
        <v>2.398521363735199</v>
      </c>
      <c r="G559">
        <v>14.011978545429571</v>
      </c>
      <c r="H559">
        <v>26.041756376310893</v>
      </c>
    </row>
    <row r="560" spans="1:8" x14ac:dyDescent="0.55000000000000004">
      <c r="A560">
        <v>557</v>
      </c>
      <c r="B560">
        <v>9.6531088564968286</v>
      </c>
      <c r="C560">
        <v>3.3567138910293579</v>
      </c>
      <c r="D560">
        <v>13.92159531945309</v>
      </c>
      <c r="E560">
        <v>9.6531088564968286</v>
      </c>
      <c r="F560">
        <v>3.3567138910293579</v>
      </c>
      <c r="G560">
        <v>13.92159531945309</v>
      </c>
      <c r="H560">
        <v>26.931418066979276</v>
      </c>
    </row>
    <row r="561" spans="1:8" x14ac:dyDescent="0.55000000000000004">
      <c r="A561">
        <v>558</v>
      </c>
      <c r="B561">
        <v>9.3020840047193243</v>
      </c>
      <c r="C561">
        <v>4.5739555954933167</v>
      </c>
      <c r="D561">
        <v>12.434837329066472</v>
      </c>
      <c r="E561">
        <v>9.3020840047193243</v>
      </c>
      <c r="F561">
        <v>4.5739555954933167</v>
      </c>
      <c r="G561">
        <v>12.434837329066472</v>
      </c>
      <c r="H561">
        <v>26.310876929279111</v>
      </c>
    </row>
    <row r="562" spans="1:8" x14ac:dyDescent="0.55000000000000004">
      <c r="A562">
        <v>559</v>
      </c>
      <c r="B562">
        <v>10.431585846414997</v>
      </c>
      <c r="C562">
        <v>2.5080511569976807</v>
      </c>
      <c r="D562">
        <v>12.134082243803011</v>
      </c>
      <c r="E562">
        <v>10.431585846414997</v>
      </c>
      <c r="F562">
        <v>2.5080511569976807</v>
      </c>
      <c r="G562">
        <v>12.134082243803011</v>
      </c>
      <c r="H562">
        <v>25.073719247215688</v>
      </c>
    </row>
    <row r="563" spans="1:8" x14ac:dyDescent="0.55000000000000004">
      <c r="A563">
        <v>560</v>
      </c>
      <c r="B563">
        <v>10.122973326989939</v>
      </c>
      <c r="C563">
        <v>4.6351882815361023</v>
      </c>
      <c r="D563">
        <v>11.290210097451496</v>
      </c>
      <c r="E563">
        <v>10.122973326989939</v>
      </c>
      <c r="F563">
        <v>4.6351882815361023</v>
      </c>
      <c r="G563">
        <v>11.290210097451496</v>
      </c>
      <c r="H563">
        <v>26.048371705977537</v>
      </c>
    </row>
    <row r="564" spans="1:8" x14ac:dyDescent="0.55000000000000004">
      <c r="A564">
        <v>561</v>
      </c>
      <c r="B564">
        <v>11.147732613545575</v>
      </c>
      <c r="C564">
        <v>2.5016192197799683</v>
      </c>
      <c r="D564">
        <v>13.29329331819002</v>
      </c>
      <c r="E564">
        <v>11.147732613545575</v>
      </c>
      <c r="F564">
        <v>2.5016192197799683</v>
      </c>
      <c r="G564">
        <v>13.29329331819002</v>
      </c>
      <c r="H564">
        <v>26.942645151515563</v>
      </c>
    </row>
    <row r="565" spans="1:8" x14ac:dyDescent="0.55000000000000004">
      <c r="A565">
        <v>562</v>
      </c>
      <c r="B565">
        <v>11.352514942751268</v>
      </c>
      <c r="C565">
        <v>3.4688847661018372</v>
      </c>
      <c r="D565">
        <v>13.338086508471827</v>
      </c>
      <c r="E565">
        <v>11.352514942751268</v>
      </c>
      <c r="F565">
        <v>3.4688847661018372</v>
      </c>
      <c r="G565">
        <v>13.338086508471827</v>
      </c>
      <c r="H565">
        <v>28.159486217324933</v>
      </c>
    </row>
    <row r="566" spans="1:8" x14ac:dyDescent="0.55000000000000004">
      <c r="A566">
        <v>563</v>
      </c>
      <c r="B566">
        <v>9.7349775154352134</v>
      </c>
      <c r="C566">
        <v>3.795891284942627</v>
      </c>
      <c r="D566">
        <v>12.266782024489856</v>
      </c>
      <c r="E566">
        <v>9.7349775154352134</v>
      </c>
      <c r="F566">
        <v>3.795891284942627</v>
      </c>
      <c r="G566">
        <v>12.266782024489856</v>
      </c>
      <c r="H566">
        <v>25.797650824867695</v>
      </c>
    </row>
    <row r="567" spans="1:8" x14ac:dyDescent="0.55000000000000004">
      <c r="A567">
        <v>564</v>
      </c>
      <c r="B567">
        <v>8.3929142755911936</v>
      </c>
      <c r="C567">
        <v>4.9384559988975525</v>
      </c>
      <c r="D567">
        <v>12.815417873395756</v>
      </c>
      <c r="E567">
        <v>8.3929142755911936</v>
      </c>
      <c r="F567">
        <v>4.9384559988975525</v>
      </c>
      <c r="G567">
        <v>12.815417873395756</v>
      </c>
      <c r="H567">
        <v>26.1467881478845</v>
      </c>
    </row>
    <row r="568" spans="1:8" x14ac:dyDescent="0.55000000000000004">
      <c r="A568">
        <v>565</v>
      </c>
      <c r="B568">
        <v>9.3595224028715496</v>
      </c>
      <c r="C568">
        <v>3.539709210395813</v>
      </c>
      <c r="D568">
        <v>12.598486881106087</v>
      </c>
      <c r="E568">
        <v>9.3595224028715496</v>
      </c>
      <c r="F568">
        <v>3.539709210395813</v>
      </c>
      <c r="G568">
        <v>12.598486881106087</v>
      </c>
      <c r="H568">
        <v>25.497718494373451</v>
      </c>
    </row>
    <row r="569" spans="1:8" x14ac:dyDescent="0.55000000000000004">
      <c r="A569">
        <v>566</v>
      </c>
      <c r="B569">
        <v>10.221851774172418</v>
      </c>
      <c r="C569">
        <v>4.5798593163490295</v>
      </c>
      <c r="D569">
        <v>11.152285816870002</v>
      </c>
      <c r="E569">
        <v>10.221851774172418</v>
      </c>
      <c r="F569">
        <v>4.5798593163490295</v>
      </c>
      <c r="G569">
        <v>11.152285816870002</v>
      </c>
      <c r="H569">
        <v>25.953996907391449</v>
      </c>
    </row>
    <row r="570" spans="1:8" x14ac:dyDescent="0.55000000000000004">
      <c r="A570">
        <v>567</v>
      </c>
      <c r="B570">
        <v>11.342997538530337</v>
      </c>
      <c r="C570">
        <v>2.2856624126434326</v>
      </c>
      <c r="D570">
        <v>13.570140973984461</v>
      </c>
      <c r="E570">
        <v>11.342997538530337</v>
      </c>
      <c r="F570">
        <v>2.2856624126434326</v>
      </c>
      <c r="G570">
        <v>13.570140973984461</v>
      </c>
      <c r="H570">
        <v>27.198800925158231</v>
      </c>
    </row>
    <row r="571" spans="1:8" x14ac:dyDescent="0.55000000000000004">
      <c r="A571">
        <v>568</v>
      </c>
      <c r="B571">
        <v>9.4078099555773278</v>
      </c>
      <c r="C571">
        <v>4.8403679728507996</v>
      </c>
      <c r="D571">
        <v>13.621530272333676</v>
      </c>
      <c r="E571">
        <v>9.4078099555773278</v>
      </c>
      <c r="F571">
        <v>4.8403679728507996</v>
      </c>
      <c r="G571">
        <v>13.621530272333676</v>
      </c>
      <c r="H571">
        <v>27.869708200761803</v>
      </c>
    </row>
    <row r="572" spans="1:8" x14ac:dyDescent="0.55000000000000004">
      <c r="A572">
        <v>569</v>
      </c>
      <c r="B572">
        <v>10.355577652087602</v>
      </c>
      <c r="C572">
        <v>2.0433105230331421</v>
      </c>
      <c r="D572">
        <v>11.796430947541364</v>
      </c>
      <c r="E572">
        <v>10.355577652087602</v>
      </c>
      <c r="F572">
        <v>2.0433105230331421</v>
      </c>
      <c r="G572">
        <v>11.796430947541364</v>
      </c>
      <c r="H572">
        <v>24.195319122662106</v>
      </c>
    </row>
    <row r="573" spans="1:8" x14ac:dyDescent="0.55000000000000004">
      <c r="A573">
        <v>570</v>
      </c>
      <c r="B573">
        <v>9.9325374612597255</v>
      </c>
      <c r="C573">
        <v>3.1415594220161438</v>
      </c>
      <c r="D573">
        <v>11.01994812141581</v>
      </c>
      <c r="E573">
        <v>9.9325374612597255</v>
      </c>
      <c r="F573">
        <v>3.1415594220161438</v>
      </c>
      <c r="G573">
        <v>11.01994812141581</v>
      </c>
      <c r="H573">
        <v>24.094045004691679</v>
      </c>
    </row>
    <row r="574" spans="1:8" x14ac:dyDescent="0.55000000000000004">
      <c r="A574">
        <v>571</v>
      </c>
      <c r="B574">
        <v>9.4696832138173015</v>
      </c>
      <c r="C574">
        <v>3.0784997940063477</v>
      </c>
      <c r="D574">
        <v>12.602099736642918</v>
      </c>
      <c r="E574">
        <v>9.4696832138173015</v>
      </c>
      <c r="F574">
        <v>3.0784997940063477</v>
      </c>
      <c r="G574">
        <v>12.602099736642918</v>
      </c>
      <c r="H574">
        <v>25.150282744466566</v>
      </c>
    </row>
    <row r="575" spans="1:8" x14ac:dyDescent="0.55000000000000004">
      <c r="A575">
        <v>572</v>
      </c>
      <c r="B575">
        <v>10.518999347691318</v>
      </c>
      <c r="C575">
        <v>4.7977723479270935</v>
      </c>
      <c r="D575">
        <v>13.89986837264294</v>
      </c>
      <c r="E575">
        <v>10.518999347691318</v>
      </c>
      <c r="F575">
        <v>4.7977723479270935</v>
      </c>
      <c r="G575">
        <v>13.89986837264294</v>
      </c>
      <c r="H575">
        <v>29.216640068261352</v>
      </c>
    </row>
    <row r="576" spans="1:8" x14ac:dyDescent="0.55000000000000004">
      <c r="A576">
        <v>573</v>
      </c>
      <c r="B576">
        <v>8.679486844944849</v>
      </c>
      <c r="C576">
        <v>4.6150232553482056</v>
      </c>
      <c r="D576">
        <v>12.785130536263992</v>
      </c>
      <c r="E576">
        <v>8.679486844944849</v>
      </c>
      <c r="F576">
        <v>4.6150232553482056</v>
      </c>
      <c r="G576">
        <v>12.785130536263992</v>
      </c>
      <c r="H576">
        <v>26.079640636557045</v>
      </c>
    </row>
    <row r="577" spans="1:8" x14ac:dyDescent="0.55000000000000004">
      <c r="A577">
        <v>574</v>
      </c>
      <c r="B577">
        <v>10.222561123883109</v>
      </c>
      <c r="C577">
        <v>2.5712824463844299</v>
      </c>
      <c r="D577">
        <v>12.031235945885445</v>
      </c>
      <c r="E577">
        <v>10.222561123883109</v>
      </c>
      <c r="F577">
        <v>2.5712824463844299</v>
      </c>
      <c r="G577">
        <v>12.031235945885445</v>
      </c>
      <c r="H577">
        <v>24.825079516152982</v>
      </c>
    </row>
    <row r="578" spans="1:8" x14ac:dyDescent="0.55000000000000004">
      <c r="A578">
        <v>575</v>
      </c>
      <c r="B578">
        <v>10.189813854469181</v>
      </c>
      <c r="C578">
        <v>3.3448746204376221</v>
      </c>
      <c r="D578">
        <v>11.969198539138009</v>
      </c>
      <c r="E578">
        <v>10.189813854469181</v>
      </c>
      <c r="F578">
        <v>3.3448746204376221</v>
      </c>
      <c r="G578">
        <v>11.969198539138009</v>
      </c>
      <c r="H578">
        <v>25.503887014044814</v>
      </c>
    </row>
    <row r="579" spans="1:8" x14ac:dyDescent="0.55000000000000004">
      <c r="A579">
        <v>576</v>
      </c>
      <c r="B579">
        <v>10.441330575772987</v>
      </c>
      <c r="C579">
        <v>3.3954469561576843</v>
      </c>
      <c r="D579">
        <v>11.436076163984362</v>
      </c>
      <c r="E579">
        <v>10.441330575772987</v>
      </c>
      <c r="F579">
        <v>3.3954469561576843</v>
      </c>
      <c r="G579">
        <v>11.436076163984362</v>
      </c>
      <c r="H579">
        <v>25.272853695915032</v>
      </c>
    </row>
    <row r="580" spans="1:8" x14ac:dyDescent="0.55000000000000004">
      <c r="A580">
        <v>577</v>
      </c>
      <c r="B580">
        <v>9.0184609073773228</v>
      </c>
      <c r="C580">
        <v>2.4033459424972534</v>
      </c>
      <c r="D580">
        <v>13.248874157930493</v>
      </c>
      <c r="E580">
        <v>9.0184609073773228</v>
      </c>
      <c r="F580">
        <v>2.4033459424972534</v>
      </c>
      <c r="G580">
        <v>13.248874157930493</v>
      </c>
      <c r="H580">
        <v>24.670681007805069</v>
      </c>
    </row>
    <row r="581" spans="1:8" x14ac:dyDescent="0.55000000000000004">
      <c r="A581">
        <v>578</v>
      </c>
      <c r="B581">
        <v>10.501839940930878</v>
      </c>
      <c r="C581">
        <v>3.5470679402351379</v>
      </c>
      <c r="D581">
        <v>11.945434689035583</v>
      </c>
      <c r="E581">
        <v>10.501839940930878</v>
      </c>
      <c r="F581">
        <v>3.5470679402351379</v>
      </c>
      <c r="G581">
        <v>11.945434689035583</v>
      </c>
      <c r="H581">
        <v>25.994342570201599</v>
      </c>
    </row>
    <row r="582" spans="1:8" x14ac:dyDescent="0.55000000000000004">
      <c r="A582">
        <v>579</v>
      </c>
      <c r="B582">
        <v>10.839517530462258</v>
      </c>
      <c r="C582">
        <v>2.2152190208435059</v>
      </c>
      <c r="D582">
        <v>12.508394686020029</v>
      </c>
      <c r="E582">
        <v>10.839517530462258</v>
      </c>
      <c r="F582">
        <v>2.2152190208435059</v>
      </c>
      <c r="G582">
        <v>12.508394686020029</v>
      </c>
      <c r="H582">
        <v>25.563131237325791</v>
      </c>
    </row>
    <row r="583" spans="1:8" x14ac:dyDescent="0.55000000000000004">
      <c r="A583">
        <v>580</v>
      </c>
      <c r="B583">
        <v>9.9139426191884521</v>
      </c>
      <c r="C583">
        <v>3.299224317073822</v>
      </c>
      <c r="D583">
        <v>10.060839530245982</v>
      </c>
      <c r="E583">
        <v>9.9139426191884521</v>
      </c>
      <c r="F583">
        <v>3.299224317073822</v>
      </c>
      <c r="G583">
        <v>10.060839530245982</v>
      </c>
      <c r="H583">
        <v>23.274006466508254</v>
      </c>
    </row>
    <row r="584" spans="1:8" x14ac:dyDescent="0.55000000000000004">
      <c r="A584">
        <v>581</v>
      </c>
      <c r="B584">
        <v>10.191401341356368</v>
      </c>
      <c r="C584">
        <v>2.3683005571365356</v>
      </c>
      <c r="D584">
        <v>10.79407165197798</v>
      </c>
      <c r="E584">
        <v>10.191401341356368</v>
      </c>
      <c r="F584">
        <v>2.3683005571365356</v>
      </c>
      <c r="G584">
        <v>10.79407165197798</v>
      </c>
      <c r="H584">
        <v>23.353773550470883</v>
      </c>
    </row>
    <row r="585" spans="1:8" x14ac:dyDescent="0.55000000000000004">
      <c r="A585">
        <v>582</v>
      </c>
      <c r="B585">
        <v>9.8890940791276947</v>
      </c>
      <c r="C585">
        <v>2.8358226418495178</v>
      </c>
      <c r="D585">
        <v>13.091684678563883</v>
      </c>
      <c r="E585">
        <v>9.8890940791276947</v>
      </c>
      <c r="F585">
        <v>2.8358226418495178</v>
      </c>
      <c r="G585">
        <v>13.091684678563883</v>
      </c>
      <c r="H585">
        <v>25.816601399541096</v>
      </c>
    </row>
    <row r="586" spans="1:8" x14ac:dyDescent="0.55000000000000004">
      <c r="A586">
        <v>583</v>
      </c>
      <c r="B586">
        <v>9.8155804142801912</v>
      </c>
      <c r="C586">
        <v>2.420551061630249</v>
      </c>
      <c r="D586">
        <v>13.700670726199039</v>
      </c>
      <c r="E586">
        <v>9.8155804142801912</v>
      </c>
      <c r="F586">
        <v>2.420551061630249</v>
      </c>
      <c r="G586">
        <v>13.700670726199039</v>
      </c>
      <c r="H586">
        <v>25.93680220210948</v>
      </c>
    </row>
    <row r="587" spans="1:8" x14ac:dyDescent="0.55000000000000004">
      <c r="A587">
        <v>584</v>
      </c>
      <c r="B587">
        <v>10.179427398661423</v>
      </c>
      <c r="C587">
        <v>2.9591166377067566</v>
      </c>
      <c r="D587">
        <v>11.922977472448091</v>
      </c>
      <c r="E587">
        <v>10.179427398661423</v>
      </c>
      <c r="F587">
        <v>2.9591166377067566</v>
      </c>
      <c r="G587">
        <v>11.922977472448091</v>
      </c>
      <c r="H587">
        <v>25.06152150881627</v>
      </c>
    </row>
    <row r="588" spans="1:8" x14ac:dyDescent="0.55000000000000004">
      <c r="A588">
        <v>585</v>
      </c>
      <c r="B588">
        <v>9.2672460622116652</v>
      </c>
      <c r="C588">
        <v>2.2970575094223022</v>
      </c>
      <c r="D588">
        <v>11.415792302904304</v>
      </c>
      <c r="E588">
        <v>9.2672460622116652</v>
      </c>
      <c r="F588">
        <v>2.2970575094223022</v>
      </c>
      <c r="G588">
        <v>11.415792302904304</v>
      </c>
      <c r="H588">
        <v>22.980095874538272</v>
      </c>
    </row>
    <row r="589" spans="1:8" x14ac:dyDescent="0.55000000000000004">
      <c r="A589">
        <v>586</v>
      </c>
      <c r="B589">
        <v>11.18945224808572</v>
      </c>
      <c r="C589">
        <v>4.8714454770088196</v>
      </c>
      <c r="D589">
        <v>13.204974587389266</v>
      </c>
      <c r="E589">
        <v>11.18945224808572</v>
      </c>
      <c r="F589">
        <v>4.8714454770088196</v>
      </c>
      <c r="G589">
        <v>13.204974587389266</v>
      </c>
      <c r="H589">
        <v>29.265872312483808</v>
      </c>
    </row>
    <row r="590" spans="1:8" x14ac:dyDescent="0.55000000000000004">
      <c r="A590">
        <v>587</v>
      </c>
      <c r="B590">
        <v>11.424425903229428</v>
      </c>
      <c r="C590">
        <v>3.6830997467041016</v>
      </c>
      <c r="D590">
        <v>14.311950166530393</v>
      </c>
      <c r="E590">
        <v>11.424425903229428</v>
      </c>
      <c r="F590">
        <v>3.6830997467041016</v>
      </c>
      <c r="G590">
        <v>14.311950166530393</v>
      </c>
      <c r="H590">
        <v>29.419475816463923</v>
      </c>
    </row>
    <row r="591" spans="1:8" x14ac:dyDescent="0.55000000000000004">
      <c r="A591">
        <v>588</v>
      </c>
      <c r="B591">
        <v>9.2845382201431512</v>
      </c>
      <c r="C591">
        <v>4.062440812587738</v>
      </c>
      <c r="D591">
        <v>11.887222191279665</v>
      </c>
      <c r="E591">
        <v>9.2845382201431512</v>
      </c>
      <c r="F591">
        <v>4.062440812587738</v>
      </c>
      <c r="G591">
        <v>11.887222191279665</v>
      </c>
      <c r="H591">
        <v>25.234201224010555</v>
      </c>
    </row>
    <row r="592" spans="1:8" x14ac:dyDescent="0.55000000000000004">
      <c r="A592">
        <v>589</v>
      </c>
      <c r="B592">
        <v>9.845478218746317</v>
      </c>
      <c r="C592">
        <v>2.5695606470108032</v>
      </c>
      <c r="D592">
        <v>12.691418139493159</v>
      </c>
      <c r="E592">
        <v>9.845478218746317</v>
      </c>
      <c r="F592">
        <v>2.5695606470108032</v>
      </c>
      <c r="G592">
        <v>12.691418139493159</v>
      </c>
      <c r="H592">
        <v>25.106457005250277</v>
      </c>
    </row>
    <row r="593" spans="1:8" x14ac:dyDescent="0.55000000000000004">
      <c r="A593">
        <v>590</v>
      </c>
      <c r="B593">
        <v>12.089414285369221</v>
      </c>
      <c r="C593">
        <v>4.0829525589942932</v>
      </c>
      <c r="D593">
        <v>12.199678722148869</v>
      </c>
      <c r="E593">
        <v>12.089414285369221</v>
      </c>
      <c r="F593">
        <v>4.0829525589942932</v>
      </c>
      <c r="G593">
        <v>12.199678722148869</v>
      </c>
      <c r="H593">
        <v>28.372045566512384</v>
      </c>
    </row>
    <row r="594" spans="1:8" x14ac:dyDescent="0.55000000000000004">
      <c r="A594">
        <v>591</v>
      </c>
      <c r="B594">
        <v>10.307672669628909</v>
      </c>
      <c r="C594">
        <v>2.8569300174713135</v>
      </c>
      <c r="D594">
        <v>12.23724051395326</v>
      </c>
      <c r="E594">
        <v>10.307672669628909</v>
      </c>
      <c r="F594">
        <v>2.8569300174713135</v>
      </c>
      <c r="G594">
        <v>12.23724051395326</v>
      </c>
      <c r="H594">
        <v>25.401843201053481</v>
      </c>
    </row>
    <row r="595" spans="1:8" x14ac:dyDescent="0.55000000000000004">
      <c r="A595">
        <v>592</v>
      </c>
      <c r="B595">
        <v>9.3972954377152309</v>
      </c>
      <c r="C595">
        <v>4.7369434237480164</v>
      </c>
      <c r="D595">
        <v>11.991719209571164</v>
      </c>
      <c r="E595">
        <v>9.3972954377152309</v>
      </c>
      <c r="F595">
        <v>4.7369434237480164</v>
      </c>
      <c r="G595">
        <v>11.991719209571164</v>
      </c>
      <c r="H595">
        <v>26.125958071034411</v>
      </c>
    </row>
    <row r="596" spans="1:8" x14ac:dyDescent="0.55000000000000004">
      <c r="A596">
        <v>593</v>
      </c>
      <c r="B596">
        <v>9.734434314900108</v>
      </c>
      <c r="C596">
        <v>3.6741522550582886</v>
      </c>
      <c r="D596">
        <v>11.241145962891096</v>
      </c>
      <c r="E596">
        <v>9.734434314900108</v>
      </c>
      <c r="F596">
        <v>3.6741522550582886</v>
      </c>
      <c r="G596">
        <v>11.241145962891096</v>
      </c>
      <c r="H596">
        <v>24.649732532849491</v>
      </c>
    </row>
    <row r="597" spans="1:8" x14ac:dyDescent="0.55000000000000004">
      <c r="A597">
        <v>594</v>
      </c>
      <c r="B597">
        <v>10.488703342814269</v>
      </c>
      <c r="C597">
        <v>3.9726021885871887</v>
      </c>
      <c r="D597">
        <v>11.316481772047769</v>
      </c>
      <c r="E597">
        <v>10.488703342814269</v>
      </c>
      <c r="F597">
        <v>3.9726021885871887</v>
      </c>
      <c r="G597">
        <v>11.316481772047769</v>
      </c>
      <c r="H597">
        <v>25.777787303449227</v>
      </c>
    </row>
    <row r="598" spans="1:8" x14ac:dyDescent="0.55000000000000004">
      <c r="A598">
        <v>595</v>
      </c>
      <c r="B598">
        <v>10.961318507501177</v>
      </c>
      <c r="C598">
        <v>3.8185677528381348</v>
      </c>
      <c r="D598">
        <v>11.836679024796123</v>
      </c>
      <c r="E598">
        <v>10.961318507501177</v>
      </c>
      <c r="F598">
        <v>3.8185677528381348</v>
      </c>
      <c r="G598">
        <v>11.836679024796123</v>
      </c>
      <c r="H598">
        <v>26.616565285135437</v>
      </c>
    </row>
    <row r="599" spans="1:8" x14ac:dyDescent="0.55000000000000004">
      <c r="A599">
        <v>596</v>
      </c>
      <c r="B599">
        <v>8.695137964926543</v>
      </c>
      <c r="C599">
        <v>2.5039257407188416</v>
      </c>
      <c r="D599">
        <v>14.753927322563289</v>
      </c>
      <c r="E599">
        <v>8.695137964926543</v>
      </c>
      <c r="F599">
        <v>2.5039257407188416</v>
      </c>
      <c r="G599">
        <v>14.753927322563289</v>
      </c>
      <c r="H599">
        <v>25.952991028208672</v>
      </c>
    </row>
    <row r="600" spans="1:8" x14ac:dyDescent="0.55000000000000004">
      <c r="A600">
        <v>597</v>
      </c>
      <c r="B600">
        <v>11.454178614572683</v>
      </c>
      <c r="C600">
        <v>4.4731980562210083</v>
      </c>
      <c r="D600">
        <v>12.766371644999651</v>
      </c>
      <c r="E600">
        <v>11.454178614572683</v>
      </c>
      <c r="F600">
        <v>4.4731980562210083</v>
      </c>
      <c r="G600">
        <v>12.766371644999651</v>
      </c>
      <c r="H600">
        <v>28.693748315793343</v>
      </c>
    </row>
    <row r="601" spans="1:8" x14ac:dyDescent="0.55000000000000004">
      <c r="A601">
        <v>598</v>
      </c>
      <c r="B601">
        <v>8.1772641048343466</v>
      </c>
      <c r="C601">
        <v>3.9440198540687561</v>
      </c>
      <c r="D601">
        <v>11.83190214763661</v>
      </c>
      <c r="E601">
        <v>8.1772641048343466</v>
      </c>
      <c r="F601">
        <v>3.9440198540687561</v>
      </c>
      <c r="G601">
        <v>11.83190214763661</v>
      </c>
      <c r="H601">
        <v>23.953186106539711</v>
      </c>
    </row>
    <row r="602" spans="1:8" x14ac:dyDescent="0.55000000000000004">
      <c r="A602">
        <v>599</v>
      </c>
      <c r="B602">
        <v>9.1712948413268851</v>
      </c>
      <c r="C602">
        <v>4.1076247692108154</v>
      </c>
      <c r="D602">
        <v>10.963849439525209</v>
      </c>
      <c r="E602">
        <v>9.1712948413268851</v>
      </c>
      <c r="F602">
        <v>4.1076247692108154</v>
      </c>
      <c r="G602">
        <v>10.963849439525209</v>
      </c>
      <c r="H602">
        <v>24.242769050062911</v>
      </c>
    </row>
    <row r="603" spans="1:8" x14ac:dyDescent="0.55000000000000004">
      <c r="A603">
        <v>600</v>
      </c>
      <c r="B603">
        <v>8.0319787253500934</v>
      </c>
      <c r="C603">
        <v>3.9813687205314636</v>
      </c>
      <c r="D603">
        <v>12.701529531501386</v>
      </c>
      <c r="E603">
        <v>8.0319787253500934</v>
      </c>
      <c r="F603">
        <v>3.9813687205314636</v>
      </c>
      <c r="G603">
        <v>12.701529531501386</v>
      </c>
      <c r="H603">
        <v>24.714876977382943</v>
      </c>
    </row>
    <row r="604" spans="1:8" x14ac:dyDescent="0.55000000000000004">
      <c r="A604">
        <v>601</v>
      </c>
      <c r="B604">
        <v>9.9231696326379488</v>
      </c>
      <c r="C604">
        <v>4.2187122106552124</v>
      </c>
      <c r="D604">
        <v>12.034415929290898</v>
      </c>
      <c r="E604">
        <v>9.9231696326379488</v>
      </c>
      <c r="F604">
        <v>4.2187122106552124</v>
      </c>
      <c r="G604">
        <v>12.034415929290898</v>
      </c>
      <c r="H604">
        <v>26.176297772584057</v>
      </c>
    </row>
    <row r="605" spans="1:8" x14ac:dyDescent="0.55000000000000004">
      <c r="A605">
        <v>602</v>
      </c>
      <c r="B605">
        <v>10.192027857184906</v>
      </c>
      <c r="C605">
        <v>4.8803232312202454</v>
      </c>
      <c r="D605">
        <v>12.535486548740831</v>
      </c>
      <c r="E605">
        <v>10.192027857184906</v>
      </c>
      <c r="F605">
        <v>4.8803232312202454</v>
      </c>
      <c r="G605">
        <v>12.535486548740831</v>
      </c>
      <c r="H605">
        <v>27.607837637145984</v>
      </c>
    </row>
    <row r="606" spans="1:8" x14ac:dyDescent="0.55000000000000004">
      <c r="A606">
        <v>603</v>
      </c>
      <c r="B606">
        <v>9.5614850112893706</v>
      </c>
      <c r="C606">
        <v>3.3174238204956055</v>
      </c>
      <c r="D606">
        <v>13.192440040047524</v>
      </c>
      <c r="E606">
        <v>9.5614850112893706</v>
      </c>
      <c r="F606">
        <v>3.3174238204956055</v>
      </c>
      <c r="G606">
        <v>13.192440040047524</v>
      </c>
      <c r="H606">
        <v>26.071348871832498</v>
      </c>
    </row>
    <row r="607" spans="1:8" x14ac:dyDescent="0.55000000000000004">
      <c r="A607">
        <v>604</v>
      </c>
      <c r="B607">
        <v>10.949259265386862</v>
      </c>
      <c r="C607">
        <v>2.3370580077171326</v>
      </c>
      <c r="D607">
        <v>10.267952538714489</v>
      </c>
      <c r="E607">
        <v>10.949259265386862</v>
      </c>
      <c r="F607">
        <v>2.3370580077171326</v>
      </c>
      <c r="G607">
        <v>10.267952538714489</v>
      </c>
      <c r="H607">
        <v>23.554269811818486</v>
      </c>
    </row>
    <row r="608" spans="1:8" x14ac:dyDescent="0.55000000000000004">
      <c r="A608">
        <v>605</v>
      </c>
      <c r="B608">
        <v>9.4827252468324321</v>
      </c>
      <c r="C608">
        <v>2.3179823160171509</v>
      </c>
      <c r="D608">
        <v>11.647065916341647</v>
      </c>
      <c r="E608">
        <v>9.4827252468324321</v>
      </c>
      <c r="F608">
        <v>2.3179823160171509</v>
      </c>
      <c r="G608">
        <v>11.647065916341647</v>
      </c>
      <c r="H608">
        <v>23.44777347919123</v>
      </c>
    </row>
    <row r="609" spans="1:8" x14ac:dyDescent="0.55000000000000004">
      <c r="A609">
        <v>606</v>
      </c>
      <c r="B609">
        <v>8.4464306704567527</v>
      </c>
      <c r="C609">
        <v>3.4722471833229065</v>
      </c>
      <c r="D609">
        <v>10.697497417486188</v>
      </c>
      <c r="E609">
        <v>8.4464306704567527</v>
      </c>
      <c r="F609">
        <v>3.4722471833229065</v>
      </c>
      <c r="G609">
        <v>10.697497417486188</v>
      </c>
      <c r="H609">
        <v>22.616175271265845</v>
      </c>
    </row>
    <row r="610" spans="1:8" x14ac:dyDescent="0.55000000000000004">
      <c r="A610">
        <v>607</v>
      </c>
      <c r="B610">
        <v>10.285208766740112</v>
      </c>
      <c r="C610">
        <v>3.2356235980987549</v>
      </c>
      <c r="D610">
        <v>13.511984120396008</v>
      </c>
      <c r="E610">
        <v>10.285208766740112</v>
      </c>
      <c r="F610">
        <v>3.2356235980987549</v>
      </c>
      <c r="G610">
        <v>13.511984120396008</v>
      </c>
      <c r="H610">
        <v>27.032816485234875</v>
      </c>
    </row>
    <row r="611" spans="1:8" x14ac:dyDescent="0.55000000000000004">
      <c r="A611">
        <v>608</v>
      </c>
      <c r="B611">
        <v>10.063769329377127</v>
      </c>
      <c r="C611">
        <v>3.4917089343070984</v>
      </c>
      <c r="D611">
        <v>11.766556418175774</v>
      </c>
      <c r="E611">
        <v>10.063769329377127</v>
      </c>
      <c r="F611">
        <v>3.4917089343070984</v>
      </c>
      <c r="G611">
        <v>11.766556418175774</v>
      </c>
      <c r="H611">
        <v>25.32203468186</v>
      </c>
    </row>
    <row r="612" spans="1:8" x14ac:dyDescent="0.55000000000000004">
      <c r="A612">
        <v>609</v>
      </c>
      <c r="B612">
        <v>8.1967488860918962</v>
      </c>
      <c r="C612">
        <v>4.8491944074630737</v>
      </c>
      <c r="D612">
        <v>11.942486130702953</v>
      </c>
      <c r="E612">
        <v>8.1967488860918962</v>
      </c>
      <c r="F612">
        <v>4.8491944074630737</v>
      </c>
      <c r="G612">
        <v>11.942486130702953</v>
      </c>
      <c r="H612">
        <v>24.988429424257923</v>
      </c>
    </row>
    <row r="613" spans="1:8" x14ac:dyDescent="0.55000000000000004">
      <c r="A613">
        <v>610</v>
      </c>
      <c r="B613">
        <v>9.607125251751448</v>
      </c>
      <c r="C613">
        <v>2.2962687611579895</v>
      </c>
      <c r="D613">
        <v>13.293515709833923</v>
      </c>
      <c r="E613">
        <v>9.607125251751448</v>
      </c>
      <c r="F613">
        <v>2.2962687611579895</v>
      </c>
      <c r="G613">
        <v>13.293515709833923</v>
      </c>
      <c r="H613">
        <v>25.19690972274336</v>
      </c>
    </row>
    <row r="614" spans="1:8" x14ac:dyDescent="0.55000000000000004">
      <c r="A614">
        <v>611</v>
      </c>
      <c r="B614">
        <v>9.6516007607904459</v>
      </c>
      <c r="C614">
        <v>2.7348437309265137</v>
      </c>
      <c r="D614">
        <v>12.019936435388516</v>
      </c>
      <c r="E614">
        <v>9.6516007607904459</v>
      </c>
      <c r="F614">
        <v>2.7348437309265137</v>
      </c>
      <c r="G614">
        <v>12.019936435388516</v>
      </c>
      <c r="H614">
        <v>24.406380927105474</v>
      </c>
    </row>
    <row r="615" spans="1:8" x14ac:dyDescent="0.55000000000000004">
      <c r="A615">
        <v>612</v>
      </c>
      <c r="B615">
        <v>9.811557960950708</v>
      </c>
      <c r="C615">
        <v>2.0720915198326111</v>
      </c>
      <c r="D615">
        <v>10.743895322562782</v>
      </c>
      <c r="E615">
        <v>9.811557960950708</v>
      </c>
      <c r="F615">
        <v>2.0720915198326111</v>
      </c>
      <c r="G615">
        <v>10.743895322562782</v>
      </c>
      <c r="H615">
        <v>22.627544803346101</v>
      </c>
    </row>
    <row r="616" spans="1:8" x14ac:dyDescent="0.55000000000000004">
      <c r="A616">
        <v>613</v>
      </c>
      <c r="B616">
        <v>9.5922984232491775</v>
      </c>
      <c r="C616">
        <v>4.827057957649231</v>
      </c>
      <c r="D616">
        <v>14.560545857748574</v>
      </c>
      <c r="E616">
        <v>9.5922984232491775</v>
      </c>
      <c r="F616">
        <v>4.827057957649231</v>
      </c>
      <c r="G616">
        <v>14.560545857748574</v>
      </c>
      <c r="H616">
        <v>28.979902238646982</v>
      </c>
    </row>
    <row r="617" spans="1:8" x14ac:dyDescent="0.55000000000000004">
      <c r="A617">
        <v>614</v>
      </c>
      <c r="B617">
        <v>10.213375072685178</v>
      </c>
      <c r="C617">
        <v>2.6427322030067444</v>
      </c>
      <c r="D617">
        <v>13.207675226707909</v>
      </c>
      <c r="E617">
        <v>10.213375072685178</v>
      </c>
      <c r="F617">
        <v>2.6427322030067444</v>
      </c>
      <c r="G617">
        <v>13.207675226707909</v>
      </c>
      <c r="H617">
        <v>26.063782502399832</v>
      </c>
    </row>
    <row r="618" spans="1:8" x14ac:dyDescent="0.55000000000000004">
      <c r="A618">
        <v>615</v>
      </c>
      <c r="B618">
        <v>9.0628387298684778</v>
      </c>
      <c r="C618">
        <v>2.4132897853851318</v>
      </c>
      <c r="D618">
        <v>12.860713890177161</v>
      </c>
      <c r="E618">
        <v>9.0628387298684778</v>
      </c>
      <c r="F618">
        <v>2.4132897853851318</v>
      </c>
      <c r="G618">
        <v>12.860713890177161</v>
      </c>
      <c r="H618">
        <v>24.336842405430772</v>
      </c>
    </row>
    <row r="619" spans="1:8" x14ac:dyDescent="0.55000000000000004">
      <c r="A619">
        <v>616</v>
      </c>
      <c r="B619">
        <v>9.8231980576520748</v>
      </c>
      <c r="C619">
        <v>3.1141554713249207</v>
      </c>
      <c r="D619">
        <v>13.816324520100208</v>
      </c>
      <c r="E619">
        <v>9.8231980576520748</v>
      </c>
      <c r="F619">
        <v>3.1141554713249207</v>
      </c>
      <c r="G619">
        <v>13.816324520100208</v>
      </c>
      <c r="H619">
        <v>26.753678049077202</v>
      </c>
    </row>
    <row r="620" spans="1:8" x14ac:dyDescent="0.55000000000000004">
      <c r="A620">
        <v>617</v>
      </c>
      <c r="B620">
        <v>11.566124537461903</v>
      </c>
      <c r="C620">
        <v>2.2184308767318726</v>
      </c>
      <c r="D620">
        <v>12.500596177137835</v>
      </c>
      <c r="E620">
        <v>11.566124537461903</v>
      </c>
      <c r="F620">
        <v>2.2184308767318726</v>
      </c>
      <c r="G620">
        <v>12.500596177137835</v>
      </c>
      <c r="H620">
        <v>26.285151591331612</v>
      </c>
    </row>
    <row r="621" spans="1:8" x14ac:dyDescent="0.55000000000000004">
      <c r="A621">
        <v>618</v>
      </c>
      <c r="B621">
        <v>10.324281510545001</v>
      </c>
      <c r="C621">
        <v>4.0939739346504211</v>
      </c>
      <c r="D621">
        <v>13.119133589808232</v>
      </c>
      <c r="E621">
        <v>10.324281510545001</v>
      </c>
      <c r="F621">
        <v>4.0939739346504211</v>
      </c>
      <c r="G621">
        <v>13.119133589808232</v>
      </c>
      <c r="H621">
        <v>27.537389035003656</v>
      </c>
    </row>
    <row r="622" spans="1:8" x14ac:dyDescent="0.55000000000000004">
      <c r="A622">
        <v>619</v>
      </c>
      <c r="B622">
        <v>10.042736595010721</v>
      </c>
      <c r="C622">
        <v>3.9853782653808594</v>
      </c>
      <c r="D622">
        <v>13.427946969893991</v>
      </c>
      <c r="E622">
        <v>10.042736595010721</v>
      </c>
      <c r="F622">
        <v>3.9853782653808594</v>
      </c>
      <c r="G622">
        <v>13.427946969893991</v>
      </c>
      <c r="H622">
        <v>27.45606183028557</v>
      </c>
    </row>
    <row r="623" spans="1:8" x14ac:dyDescent="0.55000000000000004">
      <c r="A623">
        <v>620</v>
      </c>
      <c r="B623">
        <v>10.197723705037978</v>
      </c>
      <c r="C623">
        <v>2.5161551833152771</v>
      </c>
      <c r="D623">
        <v>13.681421594800574</v>
      </c>
      <c r="E623">
        <v>10.197723705037978</v>
      </c>
      <c r="F623">
        <v>2.5161551833152771</v>
      </c>
      <c r="G623">
        <v>13.681421594800574</v>
      </c>
      <c r="H623">
        <v>26.395300483153829</v>
      </c>
    </row>
    <row r="624" spans="1:8" x14ac:dyDescent="0.55000000000000004">
      <c r="A624">
        <v>621</v>
      </c>
      <c r="B624">
        <v>10.983521900082451</v>
      </c>
      <c r="C624">
        <v>3.7079445123672485</v>
      </c>
      <c r="D624">
        <v>11.537232952651838</v>
      </c>
      <c r="E624">
        <v>10.983521900082451</v>
      </c>
      <c r="F624">
        <v>3.7079445123672485</v>
      </c>
      <c r="G624">
        <v>11.537232952651838</v>
      </c>
      <c r="H624">
        <v>26.228699365101537</v>
      </c>
    </row>
    <row r="625" spans="1:8" x14ac:dyDescent="0.55000000000000004">
      <c r="A625">
        <v>622</v>
      </c>
      <c r="B625">
        <v>10.554017722224467</v>
      </c>
      <c r="C625">
        <v>4.8524475693702698</v>
      </c>
      <c r="D625">
        <v>12.77415879538864</v>
      </c>
      <c r="E625">
        <v>10.554017722224467</v>
      </c>
      <c r="F625">
        <v>4.8524475693702698</v>
      </c>
      <c r="G625">
        <v>12.77415879538864</v>
      </c>
      <c r="H625">
        <v>28.180624086983379</v>
      </c>
    </row>
    <row r="626" spans="1:8" x14ac:dyDescent="0.55000000000000004">
      <c r="A626">
        <v>623</v>
      </c>
      <c r="B626">
        <v>10.274466873305245</v>
      </c>
      <c r="C626">
        <v>4.4223616123199463</v>
      </c>
      <c r="D626">
        <v>13.317804036141361</v>
      </c>
      <c r="E626">
        <v>10.274466873305245</v>
      </c>
      <c r="F626">
        <v>4.4223616123199463</v>
      </c>
      <c r="G626">
        <v>13.317804036141361</v>
      </c>
      <c r="H626">
        <v>28.014632521766551</v>
      </c>
    </row>
    <row r="627" spans="1:8" x14ac:dyDescent="0.55000000000000004">
      <c r="A627">
        <v>624</v>
      </c>
      <c r="B627">
        <v>11.013935286986921</v>
      </c>
      <c r="C627">
        <v>4.2417747378349304</v>
      </c>
      <c r="D627">
        <v>13.169356979870365</v>
      </c>
      <c r="E627">
        <v>11.013935286986921</v>
      </c>
      <c r="F627">
        <v>4.2417747378349304</v>
      </c>
      <c r="G627">
        <v>13.169356979870365</v>
      </c>
      <c r="H627">
        <v>28.425067004692217</v>
      </c>
    </row>
    <row r="628" spans="1:8" x14ac:dyDescent="0.55000000000000004">
      <c r="A628">
        <v>625</v>
      </c>
      <c r="B628">
        <v>10.838659657179216</v>
      </c>
      <c r="C628">
        <v>2.2136286497116089</v>
      </c>
      <c r="D628">
        <v>11.454328100467116</v>
      </c>
      <c r="E628">
        <v>10.838659657179216</v>
      </c>
      <c r="F628">
        <v>2.2136286497116089</v>
      </c>
      <c r="G628">
        <v>11.454328100467116</v>
      </c>
      <c r="H628">
        <v>24.506616407357939</v>
      </c>
    </row>
    <row r="629" spans="1:8" x14ac:dyDescent="0.55000000000000004">
      <c r="A629">
        <v>626</v>
      </c>
      <c r="B629">
        <v>9.6695349205664876</v>
      </c>
      <c r="C629">
        <v>2.8188489079475403</v>
      </c>
      <c r="D629">
        <v>11.147106619165648</v>
      </c>
      <c r="E629">
        <v>9.6695349205664876</v>
      </c>
      <c r="F629">
        <v>2.8188489079475403</v>
      </c>
      <c r="G629">
        <v>11.147106619165648</v>
      </c>
      <c r="H629">
        <v>23.635490447679675</v>
      </c>
    </row>
    <row r="630" spans="1:8" x14ac:dyDescent="0.55000000000000004">
      <c r="A630">
        <v>627</v>
      </c>
      <c r="B630">
        <v>10.04112756491924</v>
      </c>
      <c r="C630">
        <v>2.8429532051086426</v>
      </c>
      <c r="D630">
        <v>12.879733125619531</v>
      </c>
      <c r="E630">
        <v>10.04112756491924</v>
      </c>
      <c r="F630">
        <v>2.8429532051086426</v>
      </c>
      <c r="G630">
        <v>12.879733125619531</v>
      </c>
      <c r="H630">
        <v>25.763813895647413</v>
      </c>
    </row>
    <row r="631" spans="1:8" x14ac:dyDescent="0.55000000000000004">
      <c r="A631">
        <v>628</v>
      </c>
      <c r="B631">
        <v>9.1000169168065561</v>
      </c>
      <c r="C631">
        <v>2.2732529044151306</v>
      </c>
      <c r="D631">
        <v>13.335127584345269</v>
      </c>
      <c r="E631">
        <v>9.1000169168065561</v>
      </c>
      <c r="F631">
        <v>2.2732529044151306</v>
      </c>
      <c r="G631">
        <v>13.335127584345269</v>
      </c>
      <c r="H631">
        <v>24.708397405566956</v>
      </c>
    </row>
    <row r="632" spans="1:8" x14ac:dyDescent="0.55000000000000004">
      <c r="A632">
        <v>629</v>
      </c>
      <c r="B632">
        <v>8.7030402820044266</v>
      </c>
      <c r="C632">
        <v>2.1525365114212036</v>
      </c>
      <c r="D632">
        <v>13.407096358241166</v>
      </c>
      <c r="E632">
        <v>8.7030402820044266</v>
      </c>
      <c r="F632">
        <v>2.1525365114212036</v>
      </c>
      <c r="G632">
        <v>13.407096358241166</v>
      </c>
      <c r="H632">
        <v>24.262673151666796</v>
      </c>
    </row>
    <row r="633" spans="1:8" x14ac:dyDescent="0.55000000000000004">
      <c r="A633">
        <v>630</v>
      </c>
      <c r="B633">
        <v>10.301537028798503</v>
      </c>
      <c r="C633">
        <v>3.4202409386634827</v>
      </c>
      <c r="D633">
        <v>11.661161230742364</v>
      </c>
      <c r="E633">
        <v>10.301537028798503</v>
      </c>
      <c r="F633">
        <v>3.4202409386634827</v>
      </c>
      <c r="G633">
        <v>11.661161230742364</v>
      </c>
      <c r="H633">
        <v>25.382939198204348</v>
      </c>
    </row>
    <row r="634" spans="1:8" x14ac:dyDescent="0.55000000000000004">
      <c r="A634">
        <v>631</v>
      </c>
      <c r="B634">
        <v>10.056535562673055</v>
      </c>
      <c r="C634">
        <v>2.1539523601531982</v>
      </c>
      <c r="D634">
        <v>11.258104041768746</v>
      </c>
      <c r="E634">
        <v>10.056535562673055</v>
      </c>
      <c r="F634">
        <v>2.1539523601531982</v>
      </c>
      <c r="G634">
        <v>11.258104041768746</v>
      </c>
      <c r="H634">
        <v>23.468591964594999</v>
      </c>
    </row>
    <row r="635" spans="1:8" x14ac:dyDescent="0.55000000000000004">
      <c r="A635">
        <v>632</v>
      </c>
      <c r="B635">
        <v>10.954423137015638</v>
      </c>
      <c r="C635">
        <v>2.3145081400871277</v>
      </c>
      <c r="D635">
        <v>12.536401280209576</v>
      </c>
      <c r="E635">
        <v>10.954423137015638</v>
      </c>
      <c r="F635">
        <v>2.3145081400871277</v>
      </c>
      <c r="G635">
        <v>12.536401280209576</v>
      </c>
      <c r="H635">
        <v>25.80533255731234</v>
      </c>
    </row>
    <row r="636" spans="1:8" x14ac:dyDescent="0.55000000000000004">
      <c r="A636">
        <v>633</v>
      </c>
      <c r="B636">
        <v>9.9688653401231004</v>
      </c>
      <c r="C636">
        <v>3.4563697576522827</v>
      </c>
      <c r="D636">
        <v>12.493232409967232</v>
      </c>
      <c r="E636">
        <v>9.9688653401231004</v>
      </c>
      <c r="F636">
        <v>3.4563697576522827</v>
      </c>
      <c r="G636">
        <v>12.493232409967232</v>
      </c>
      <c r="H636">
        <v>25.918467507742616</v>
      </c>
    </row>
    <row r="637" spans="1:8" x14ac:dyDescent="0.55000000000000004">
      <c r="A637">
        <v>634</v>
      </c>
      <c r="B637">
        <v>9.6417579125572441</v>
      </c>
      <c r="C637">
        <v>4.1881788372993469</v>
      </c>
      <c r="D637">
        <v>13.154307531962811</v>
      </c>
      <c r="E637">
        <v>9.6417579125572441</v>
      </c>
      <c r="F637">
        <v>4.1881788372993469</v>
      </c>
      <c r="G637">
        <v>13.154307531962811</v>
      </c>
      <c r="H637">
        <v>26.9842442818194</v>
      </c>
    </row>
    <row r="638" spans="1:8" x14ac:dyDescent="0.55000000000000004">
      <c r="A638">
        <v>635</v>
      </c>
      <c r="B638">
        <v>10.608419525677519</v>
      </c>
      <c r="C638">
        <v>2.4408693313598633</v>
      </c>
      <c r="D638">
        <v>11.244858898225331</v>
      </c>
      <c r="E638">
        <v>10.608419525677519</v>
      </c>
      <c r="F638">
        <v>2.4408693313598633</v>
      </c>
      <c r="G638">
        <v>11.244858898225331</v>
      </c>
      <c r="H638">
        <v>24.294147755262713</v>
      </c>
    </row>
    <row r="639" spans="1:8" x14ac:dyDescent="0.55000000000000004">
      <c r="A639">
        <v>636</v>
      </c>
      <c r="B639">
        <v>11.000525674503489</v>
      </c>
      <c r="C639">
        <v>2.2442635893821716</v>
      </c>
      <c r="D639">
        <v>11.576737577700003</v>
      </c>
      <c r="E639">
        <v>11.000525674503489</v>
      </c>
      <c r="F639">
        <v>2.2442635893821716</v>
      </c>
      <c r="G639">
        <v>11.576737577700003</v>
      </c>
      <c r="H639">
        <v>24.821526841585666</v>
      </c>
    </row>
    <row r="640" spans="1:8" x14ac:dyDescent="0.55000000000000004">
      <c r="A640">
        <v>637</v>
      </c>
      <c r="B640">
        <v>9.8628861250249802</v>
      </c>
      <c r="C640">
        <v>4.3371034860610962</v>
      </c>
      <c r="D640">
        <v>12.189398929781795</v>
      </c>
      <c r="E640">
        <v>9.8628861250249802</v>
      </c>
      <c r="F640">
        <v>4.3371034860610962</v>
      </c>
      <c r="G640">
        <v>12.189398929781795</v>
      </c>
      <c r="H640">
        <v>26.38938854086787</v>
      </c>
    </row>
    <row r="641" spans="1:8" x14ac:dyDescent="0.55000000000000004">
      <c r="A641">
        <v>638</v>
      </c>
      <c r="B641">
        <v>8.5137210882974745</v>
      </c>
      <c r="C641">
        <v>4.0868349671363831</v>
      </c>
      <c r="D641">
        <v>11.154805286062659</v>
      </c>
      <c r="E641">
        <v>8.5137210882974745</v>
      </c>
      <c r="F641">
        <v>4.0868349671363831</v>
      </c>
      <c r="G641">
        <v>11.154805286062659</v>
      </c>
      <c r="H641">
        <v>23.755361341496517</v>
      </c>
    </row>
    <row r="642" spans="1:8" x14ac:dyDescent="0.55000000000000004">
      <c r="A642">
        <v>639</v>
      </c>
      <c r="B642">
        <v>11.385600654204755</v>
      </c>
      <c r="C642">
        <v>4.1085503101348877</v>
      </c>
      <c r="D642">
        <v>14.205041047382194</v>
      </c>
      <c r="E642">
        <v>11.385600654204755</v>
      </c>
      <c r="F642">
        <v>4.1085503101348877</v>
      </c>
      <c r="G642">
        <v>14.205041047382194</v>
      </c>
      <c r="H642">
        <v>29.699192011721834</v>
      </c>
    </row>
    <row r="643" spans="1:8" x14ac:dyDescent="0.55000000000000004">
      <c r="A643">
        <v>640</v>
      </c>
      <c r="B643">
        <v>11.276619963880016</v>
      </c>
      <c r="C643">
        <v>3.3191720843315125</v>
      </c>
      <c r="D643">
        <v>13.574058437215259</v>
      </c>
      <c r="E643">
        <v>11.276619963880016</v>
      </c>
      <c r="F643">
        <v>3.3191720843315125</v>
      </c>
      <c r="G643">
        <v>13.574058437215259</v>
      </c>
      <c r="H643">
        <v>28.169850485426785</v>
      </c>
    </row>
    <row r="644" spans="1:8" x14ac:dyDescent="0.55000000000000004">
      <c r="A644">
        <v>641</v>
      </c>
      <c r="B644">
        <v>10.386986621488072</v>
      </c>
      <c r="C644">
        <v>4.802611231803894</v>
      </c>
      <c r="D644">
        <v>12.71751266226045</v>
      </c>
      <c r="E644">
        <v>10.386986621488072</v>
      </c>
      <c r="F644">
        <v>4.802611231803894</v>
      </c>
      <c r="G644">
        <v>12.71751266226045</v>
      </c>
      <c r="H644">
        <v>27.907110515552418</v>
      </c>
    </row>
    <row r="645" spans="1:8" x14ac:dyDescent="0.55000000000000004">
      <c r="A645">
        <v>642</v>
      </c>
      <c r="B645">
        <v>10.54361782277604</v>
      </c>
      <c r="C645">
        <v>4.5911238789558411</v>
      </c>
      <c r="D645">
        <v>11.599859308971322</v>
      </c>
      <c r="E645">
        <v>10.54361782277604</v>
      </c>
      <c r="F645">
        <v>4.5911238789558411</v>
      </c>
      <c r="G645">
        <v>11.599859308971322</v>
      </c>
      <c r="H645">
        <v>26.734601010703201</v>
      </c>
    </row>
    <row r="646" spans="1:8" x14ac:dyDescent="0.55000000000000004">
      <c r="A646">
        <v>643</v>
      </c>
      <c r="B646">
        <v>10.414636170763114</v>
      </c>
      <c r="C646">
        <v>2.7718024253845215</v>
      </c>
      <c r="D646">
        <v>11.915025274294209</v>
      </c>
      <c r="E646">
        <v>10.414636170763114</v>
      </c>
      <c r="F646">
        <v>2.7718024253845215</v>
      </c>
      <c r="G646">
        <v>11.915025274294209</v>
      </c>
      <c r="H646">
        <v>25.101463870441844</v>
      </c>
    </row>
    <row r="647" spans="1:8" x14ac:dyDescent="0.55000000000000004">
      <c r="A647">
        <v>644</v>
      </c>
      <c r="B647">
        <v>9.6223285082860173</v>
      </c>
      <c r="C647">
        <v>4.1269411444664001</v>
      </c>
      <c r="D647">
        <v>11.274001014391676</v>
      </c>
      <c r="E647">
        <v>9.6223285082860173</v>
      </c>
      <c r="F647">
        <v>4.1269411444664001</v>
      </c>
      <c r="G647">
        <v>11.274001014391676</v>
      </c>
      <c r="H647">
        <v>25.023270667144093</v>
      </c>
    </row>
    <row r="648" spans="1:8" x14ac:dyDescent="0.55000000000000004">
      <c r="A648">
        <v>645</v>
      </c>
      <c r="B648">
        <v>10.58618308105005</v>
      </c>
      <c r="C648">
        <v>4.9222899675369263</v>
      </c>
      <c r="D648">
        <v>11.603567775384745</v>
      </c>
      <c r="E648">
        <v>10.58618308105005</v>
      </c>
      <c r="F648">
        <v>4.9222899675369263</v>
      </c>
      <c r="G648">
        <v>11.603567775384745</v>
      </c>
      <c r="H648">
        <v>27.112040823971721</v>
      </c>
    </row>
    <row r="649" spans="1:8" x14ac:dyDescent="0.55000000000000004">
      <c r="A649">
        <v>646</v>
      </c>
      <c r="B649">
        <v>11.26987014872377</v>
      </c>
      <c r="C649">
        <v>2.5148273110389709</v>
      </c>
      <c r="D649">
        <v>11.496255014358569</v>
      </c>
      <c r="E649">
        <v>11.26987014872377</v>
      </c>
      <c r="F649">
        <v>2.5148273110389709</v>
      </c>
      <c r="G649">
        <v>11.496255014358569</v>
      </c>
      <c r="H649">
        <v>25.28095247412131</v>
      </c>
    </row>
    <row r="650" spans="1:8" x14ac:dyDescent="0.55000000000000004">
      <c r="A650">
        <v>647</v>
      </c>
      <c r="B650">
        <v>10.47285930842436</v>
      </c>
      <c r="C650">
        <v>2.8960187435150146</v>
      </c>
      <c r="D650">
        <v>11.406773151996974</v>
      </c>
      <c r="E650">
        <v>10.47285930842436</v>
      </c>
      <c r="F650">
        <v>2.8960187435150146</v>
      </c>
      <c r="G650">
        <v>11.406773151996974</v>
      </c>
      <c r="H650">
        <v>24.775651203936349</v>
      </c>
    </row>
    <row r="651" spans="1:8" x14ac:dyDescent="0.55000000000000004">
      <c r="A651">
        <v>648</v>
      </c>
      <c r="B651">
        <v>10.045639861134257</v>
      </c>
      <c r="C651">
        <v>4.2894579768180847</v>
      </c>
      <c r="D651">
        <v>12.033625398593212</v>
      </c>
      <c r="E651">
        <v>10.045639861134257</v>
      </c>
      <c r="F651">
        <v>4.2894579768180847</v>
      </c>
      <c r="G651">
        <v>12.033625398593212</v>
      </c>
      <c r="H651">
        <v>26.368723236545556</v>
      </c>
    </row>
    <row r="652" spans="1:8" x14ac:dyDescent="0.55000000000000004">
      <c r="A652">
        <v>649</v>
      </c>
      <c r="B652">
        <v>9.1510171439148085</v>
      </c>
      <c r="C652">
        <v>3.8426851034164429</v>
      </c>
      <c r="D652">
        <v>12.337505779809913</v>
      </c>
      <c r="E652">
        <v>9.1510171439148085</v>
      </c>
      <c r="F652">
        <v>3.8426851034164429</v>
      </c>
      <c r="G652">
        <v>12.337505779809913</v>
      </c>
      <c r="H652">
        <v>25.331208027141166</v>
      </c>
    </row>
    <row r="653" spans="1:8" x14ac:dyDescent="0.55000000000000004">
      <c r="A653">
        <v>650</v>
      </c>
      <c r="B653">
        <v>9.6124895153992522</v>
      </c>
      <c r="C653">
        <v>4.5887191891670227</v>
      </c>
      <c r="D653">
        <v>11.875533345978861</v>
      </c>
      <c r="E653">
        <v>9.6124895153992522</v>
      </c>
      <c r="F653">
        <v>4.5887191891670227</v>
      </c>
      <c r="G653">
        <v>11.875533345978861</v>
      </c>
      <c r="H653">
        <v>26.076742050545135</v>
      </c>
    </row>
    <row r="654" spans="1:8" x14ac:dyDescent="0.55000000000000004">
      <c r="A654">
        <v>651</v>
      </c>
      <c r="B654">
        <v>9.9023462426824693</v>
      </c>
      <c r="C654">
        <v>2.1878032684326172</v>
      </c>
      <c r="D654">
        <v>10.432409507898539</v>
      </c>
      <c r="E654">
        <v>9.9023462426824693</v>
      </c>
      <c r="F654">
        <v>2.1878032684326172</v>
      </c>
      <c r="G654">
        <v>10.432409507898539</v>
      </c>
      <c r="H654">
        <v>22.522559019013627</v>
      </c>
    </row>
    <row r="655" spans="1:8" x14ac:dyDescent="0.55000000000000004">
      <c r="A655">
        <v>652</v>
      </c>
      <c r="B655">
        <v>9.2396809924466172</v>
      </c>
      <c r="C655">
        <v>2.9159144759178162</v>
      </c>
      <c r="D655">
        <v>12.58895922404262</v>
      </c>
      <c r="E655">
        <v>9.2396809924466172</v>
      </c>
      <c r="F655">
        <v>2.9159144759178162</v>
      </c>
      <c r="G655">
        <v>12.58895922404262</v>
      </c>
      <c r="H655">
        <v>24.744554692407053</v>
      </c>
    </row>
    <row r="656" spans="1:8" x14ac:dyDescent="0.55000000000000004">
      <c r="A656">
        <v>653</v>
      </c>
      <c r="B656">
        <v>10.769706789574375</v>
      </c>
      <c r="C656">
        <v>2.5531154870986938</v>
      </c>
      <c r="D656">
        <v>11.288623850778364</v>
      </c>
      <c r="E656">
        <v>10.769706789574375</v>
      </c>
      <c r="F656">
        <v>2.5531154870986938</v>
      </c>
      <c r="G656">
        <v>11.288623850778364</v>
      </c>
      <c r="H656">
        <v>24.611446127451433</v>
      </c>
    </row>
    <row r="657" spans="1:8" x14ac:dyDescent="0.55000000000000004">
      <c r="A657">
        <v>654</v>
      </c>
      <c r="B657">
        <v>10.05522516387472</v>
      </c>
      <c r="C657">
        <v>3.7886906266212463</v>
      </c>
      <c r="D657">
        <v>12.214049721328337</v>
      </c>
      <c r="E657">
        <v>10.05522516387472</v>
      </c>
      <c r="F657">
        <v>3.7886906266212463</v>
      </c>
      <c r="G657">
        <v>12.214049721328337</v>
      </c>
      <c r="H657">
        <v>26.057965511824303</v>
      </c>
    </row>
    <row r="658" spans="1:8" x14ac:dyDescent="0.55000000000000004">
      <c r="A658">
        <v>655</v>
      </c>
      <c r="B658">
        <v>8.7048666553223786</v>
      </c>
      <c r="C658">
        <v>3.7355959415435791</v>
      </c>
      <c r="D658">
        <v>11.148023102401588</v>
      </c>
      <c r="E658">
        <v>8.7048666553223786</v>
      </c>
      <c r="F658">
        <v>3.7355959415435791</v>
      </c>
      <c r="G658">
        <v>11.148023102401588</v>
      </c>
      <c r="H658">
        <v>23.588485699267544</v>
      </c>
    </row>
    <row r="659" spans="1:8" x14ac:dyDescent="0.55000000000000004">
      <c r="A659">
        <v>656</v>
      </c>
      <c r="B659">
        <v>10.27074800298486</v>
      </c>
      <c r="C659">
        <v>3.8059322237968445</v>
      </c>
      <c r="D659">
        <v>13.774519358746995</v>
      </c>
      <c r="E659">
        <v>10.27074800298486</v>
      </c>
      <c r="F659">
        <v>3.8059322237968445</v>
      </c>
      <c r="G659">
        <v>13.774519358746995</v>
      </c>
      <c r="H659">
        <v>27.851199585528697</v>
      </c>
    </row>
    <row r="660" spans="1:8" x14ac:dyDescent="0.55000000000000004">
      <c r="A660">
        <v>657</v>
      </c>
      <c r="B660">
        <v>10.859107733236595</v>
      </c>
      <c r="C660">
        <v>4.4012984037399292</v>
      </c>
      <c r="D660">
        <v>14.107936915907045</v>
      </c>
      <c r="E660">
        <v>10.859107733236595</v>
      </c>
      <c r="F660">
        <v>4.4012984037399292</v>
      </c>
      <c r="G660">
        <v>14.107936915907045</v>
      </c>
      <c r="H660">
        <v>29.368343052883567</v>
      </c>
    </row>
    <row r="661" spans="1:8" x14ac:dyDescent="0.55000000000000004">
      <c r="A661">
        <v>658</v>
      </c>
      <c r="B661">
        <v>10.137785799046277</v>
      </c>
      <c r="C661">
        <v>4.4138749241828918</v>
      </c>
      <c r="D661">
        <v>12.357383034731457</v>
      </c>
      <c r="E661">
        <v>10.137785799046277</v>
      </c>
      <c r="F661">
        <v>4.4138749241828918</v>
      </c>
      <c r="G661">
        <v>12.357383034731457</v>
      </c>
      <c r="H661">
        <v>26.909043757960625</v>
      </c>
    </row>
    <row r="662" spans="1:8" x14ac:dyDescent="0.55000000000000004">
      <c r="A662">
        <v>659</v>
      </c>
      <c r="B662">
        <v>9.7930970814276286</v>
      </c>
      <c r="C662">
        <v>4.9002976417541504</v>
      </c>
      <c r="D662">
        <v>13.310006024269819</v>
      </c>
      <c r="E662">
        <v>9.7930970814276286</v>
      </c>
      <c r="F662">
        <v>4.9002976417541504</v>
      </c>
      <c r="G662">
        <v>13.310006024269819</v>
      </c>
      <c r="H662">
        <v>28.0034007474516</v>
      </c>
    </row>
    <row r="663" spans="1:8" x14ac:dyDescent="0.55000000000000004">
      <c r="A663">
        <v>660</v>
      </c>
      <c r="B663">
        <v>9.0139403291040736</v>
      </c>
      <c r="C663">
        <v>3.4026874899864197</v>
      </c>
      <c r="D663">
        <v>11.527548305540577</v>
      </c>
      <c r="E663">
        <v>9.0139403291040736</v>
      </c>
      <c r="F663">
        <v>3.4026874899864197</v>
      </c>
      <c r="G663">
        <v>11.527548305540577</v>
      </c>
      <c r="H663">
        <v>23.94417612463107</v>
      </c>
    </row>
    <row r="664" spans="1:8" x14ac:dyDescent="0.55000000000000004">
      <c r="A664">
        <v>661</v>
      </c>
      <c r="B664">
        <v>12.34528908640841</v>
      </c>
      <c r="C664">
        <v>4.3589745759963989</v>
      </c>
      <c r="D664">
        <v>12.473984479220178</v>
      </c>
      <c r="E664">
        <v>12.34528908640841</v>
      </c>
      <c r="F664">
        <v>4.3589745759963989</v>
      </c>
      <c r="G664">
        <v>12.473984479220178</v>
      </c>
      <c r="H664">
        <v>29.178248141624987</v>
      </c>
    </row>
    <row r="665" spans="1:8" x14ac:dyDescent="0.55000000000000004">
      <c r="A665">
        <v>662</v>
      </c>
      <c r="B665">
        <v>9.8351035273667922</v>
      </c>
      <c r="C665">
        <v>2.9147725701332092</v>
      </c>
      <c r="D665">
        <v>11.725119147125016</v>
      </c>
      <c r="E665">
        <v>9.8351035273667922</v>
      </c>
      <c r="F665">
        <v>2.9147725701332092</v>
      </c>
      <c r="G665">
        <v>11.725119147125016</v>
      </c>
      <c r="H665">
        <v>24.474995244625017</v>
      </c>
    </row>
    <row r="666" spans="1:8" x14ac:dyDescent="0.55000000000000004">
      <c r="A666">
        <v>663</v>
      </c>
      <c r="B666">
        <v>9.5761400220592439</v>
      </c>
      <c r="C666">
        <v>4.9558951854705811</v>
      </c>
      <c r="D666">
        <v>13.17762334738671</v>
      </c>
      <c r="E666">
        <v>9.5761400220592439</v>
      </c>
      <c r="F666">
        <v>4.9558951854705811</v>
      </c>
      <c r="G666">
        <v>13.17762334738671</v>
      </c>
      <c r="H666">
        <v>27.709658554916537</v>
      </c>
    </row>
    <row r="667" spans="1:8" x14ac:dyDescent="0.55000000000000004">
      <c r="A667">
        <v>664</v>
      </c>
      <c r="B667">
        <v>8.2159655530167566</v>
      </c>
      <c r="C667">
        <v>3.4960362315177917</v>
      </c>
      <c r="D667">
        <v>11.760116423635893</v>
      </c>
      <c r="E667">
        <v>8.2159655530167566</v>
      </c>
      <c r="F667">
        <v>3.4960362315177917</v>
      </c>
      <c r="G667">
        <v>11.760116423635893</v>
      </c>
      <c r="H667">
        <v>23.472118208170443</v>
      </c>
    </row>
    <row r="668" spans="1:8" x14ac:dyDescent="0.55000000000000004">
      <c r="A668">
        <v>665</v>
      </c>
      <c r="B668">
        <v>9.7783085491102941</v>
      </c>
      <c r="C668">
        <v>3.037533164024353</v>
      </c>
      <c r="D668">
        <v>13.24057157404491</v>
      </c>
      <c r="E668">
        <v>9.7783085491102941</v>
      </c>
      <c r="F668">
        <v>3.037533164024353</v>
      </c>
      <c r="G668">
        <v>13.24057157404491</v>
      </c>
      <c r="H668">
        <v>26.056413287179559</v>
      </c>
    </row>
    <row r="669" spans="1:8" x14ac:dyDescent="0.55000000000000004">
      <c r="A669">
        <v>666</v>
      </c>
      <c r="B669">
        <v>9.7947298922632413</v>
      </c>
      <c r="C669">
        <v>2.4713762402534485</v>
      </c>
      <c r="D669">
        <v>12.210453235770002</v>
      </c>
      <c r="E669">
        <v>9.7947298922632413</v>
      </c>
      <c r="F669">
        <v>2.4713762402534485</v>
      </c>
      <c r="G669">
        <v>12.210453235770002</v>
      </c>
      <c r="H669">
        <v>24.476559368286694</v>
      </c>
    </row>
    <row r="670" spans="1:8" x14ac:dyDescent="0.55000000000000004">
      <c r="A670">
        <v>667</v>
      </c>
      <c r="B670">
        <v>9.9016136270083468</v>
      </c>
      <c r="C670">
        <v>4.4800863265991211</v>
      </c>
      <c r="D670">
        <v>14.167338542786293</v>
      </c>
      <c r="E670">
        <v>9.9016136270083468</v>
      </c>
      <c r="F670">
        <v>4.4800863265991211</v>
      </c>
      <c r="G670">
        <v>14.167338542786293</v>
      </c>
      <c r="H670">
        <v>28.549038496393763</v>
      </c>
    </row>
    <row r="671" spans="1:8" x14ac:dyDescent="0.55000000000000004">
      <c r="A671">
        <v>668</v>
      </c>
      <c r="B671">
        <v>10.201940248920881</v>
      </c>
      <c r="C671">
        <v>3.6756390929222107</v>
      </c>
      <c r="D671">
        <v>13.015138070082333</v>
      </c>
      <c r="E671">
        <v>10.201940248920881</v>
      </c>
      <c r="F671">
        <v>3.6756390929222107</v>
      </c>
      <c r="G671">
        <v>13.015138070082333</v>
      </c>
      <c r="H671">
        <v>26.892717411925425</v>
      </c>
    </row>
    <row r="672" spans="1:8" x14ac:dyDescent="0.55000000000000004">
      <c r="A672">
        <v>669</v>
      </c>
      <c r="B672">
        <v>10.646575029311089</v>
      </c>
      <c r="C672">
        <v>3.4536367654800415</v>
      </c>
      <c r="D672">
        <v>13.055636488048092</v>
      </c>
      <c r="E672">
        <v>10.646575029311089</v>
      </c>
      <c r="F672">
        <v>3.4536367654800415</v>
      </c>
      <c r="G672">
        <v>13.055636488048092</v>
      </c>
      <c r="H672">
        <v>27.155848282839223</v>
      </c>
    </row>
    <row r="673" spans="1:8" x14ac:dyDescent="0.55000000000000004">
      <c r="A673">
        <v>670</v>
      </c>
      <c r="B673">
        <v>10.545190435395359</v>
      </c>
      <c r="C673">
        <v>4.3212957978248596</v>
      </c>
      <c r="D673">
        <v>10.320953472152306</v>
      </c>
      <c r="E673">
        <v>10.545190435395359</v>
      </c>
      <c r="F673">
        <v>4.3212957978248596</v>
      </c>
      <c r="G673">
        <v>10.320953472152306</v>
      </c>
      <c r="H673">
        <v>25.187439705372526</v>
      </c>
    </row>
    <row r="674" spans="1:8" x14ac:dyDescent="0.55000000000000004">
      <c r="A674">
        <v>671</v>
      </c>
      <c r="B674">
        <v>11.732924881531304</v>
      </c>
      <c r="C674">
        <v>2.4949047565460205</v>
      </c>
      <c r="D674">
        <v>12.057986895786193</v>
      </c>
      <c r="E674">
        <v>11.732924881531304</v>
      </c>
      <c r="F674">
        <v>2.4949047565460205</v>
      </c>
      <c r="G674">
        <v>12.057986895786193</v>
      </c>
      <c r="H674">
        <v>26.285816533863517</v>
      </c>
    </row>
    <row r="675" spans="1:8" x14ac:dyDescent="0.55000000000000004">
      <c r="A675">
        <v>672</v>
      </c>
      <c r="B675">
        <v>8.8987288328146281</v>
      </c>
      <c r="C675">
        <v>3.5340864062309265</v>
      </c>
      <c r="D675">
        <v>12.146326402341009</v>
      </c>
      <c r="E675">
        <v>8.8987288328146281</v>
      </c>
      <c r="F675">
        <v>3.5340864062309265</v>
      </c>
      <c r="G675">
        <v>12.146326402341009</v>
      </c>
      <c r="H675">
        <v>24.579141641386563</v>
      </c>
    </row>
    <row r="676" spans="1:8" x14ac:dyDescent="0.55000000000000004">
      <c r="A676">
        <v>673</v>
      </c>
      <c r="B676">
        <v>10.602986410308597</v>
      </c>
      <c r="C676">
        <v>2.5448464155197144</v>
      </c>
      <c r="D676">
        <v>12.521275991267332</v>
      </c>
      <c r="E676">
        <v>10.602986410308597</v>
      </c>
      <c r="F676">
        <v>2.5448464155197144</v>
      </c>
      <c r="G676">
        <v>12.521275991267332</v>
      </c>
      <c r="H676">
        <v>25.669108817095644</v>
      </c>
    </row>
    <row r="677" spans="1:8" x14ac:dyDescent="0.55000000000000004">
      <c r="A677">
        <v>674</v>
      </c>
      <c r="B677">
        <v>9.6527059602894045</v>
      </c>
      <c r="C677">
        <v>2.8378832936286926</v>
      </c>
      <c r="D677">
        <v>12.467721229794241</v>
      </c>
      <c r="E677">
        <v>9.6527059602894045</v>
      </c>
      <c r="F677">
        <v>2.8378832936286926</v>
      </c>
      <c r="G677">
        <v>12.467721229794241</v>
      </c>
      <c r="H677">
        <v>24.958310483712339</v>
      </c>
    </row>
    <row r="678" spans="1:8" x14ac:dyDescent="0.55000000000000004">
      <c r="A678">
        <v>675</v>
      </c>
      <c r="B678">
        <v>10.410383193710032</v>
      </c>
      <c r="C678">
        <v>3.3573451042175293</v>
      </c>
      <c r="D678">
        <v>12.813321608479367</v>
      </c>
      <c r="E678">
        <v>10.410383193710032</v>
      </c>
      <c r="F678">
        <v>3.3573451042175293</v>
      </c>
      <c r="G678">
        <v>12.813321608479367</v>
      </c>
      <c r="H678">
        <v>26.581049906406928</v>
      </c>
    </row>
    <row r="679" spans="1:8" x14ac:dyDescent="0.55000000000000004">
      <c r="A679">
        <v>676</v>
      </c>
      <c r="B679">
        <v>8.6725331696777079</v>
      </c>
      <c r="C679">
        <v>2.6200231909751892</v>
      </c>
      <c r="D679">
        <v>12.037812408791753</v>
      </c>
      <c r="E679">
        <v>8.6725331696777079</v>
      </c>
      <c r="F679">
        <v>2.6200231909751892</v>
      </c>
      <c r="G679">
        <v>12.037812408791753</v>
      </c>
      <c r="H679">
        <v>23.33036876944465</v>
      </c>
    </row>
    <row r="680" spans="1:8" x14ac:dyDescent="0.55000000000000004">
      <c r="A680">
        <v>677</v>
      </c>
      <c r="B680">
        <v>11.496793575179492</v>
      </c>
      <c r="C680">
        <v>4.4352465867996216</v>
      </c>
      <c r="D680">
        <v>11.848939832854507</v>
      </c>
      <c r="E680">
        <v>11.496793575179492</v>
      </c>
      <c r="F680">
        <v>4.4352465867996216</v>
      </c>
      <c r="G680">
        <v>11.848939832854507</v>
      </c>
      <c r="H680">
        <v>27.780979994833622</v>
      </c>
    </row>
    <row r="681" spans="1:8" x14ac:dyDescent="0.55000000000000004">
      <c r="A681">
        <v>678</v>
      </c>
      <c r="B681">
        <v>9.9748076667538257</v>
      </c>
      <c r="C681">
        <v>2.3583579659461975</v>
      </c>
      <c r="D681">
        <v>12.037969061405846</v>
      </c>
      <c r="E681">
        <v>9.9748076667538257</v>
      </c>
      <c r="F681">
        <v>2.3583579659461975</v>
      </c>
      <c r="G681">
        <v>12.037969061405846</v>
      </c>
      <c r="H681">
        <v>24.371134694105869</v>
      </c>
    </row>
    <row r="682" spans="1:8" x14ac:dyDescent="0.55000000000000004">
      <c r="A682">
        <v>679</v>
      </c>
      <c r="B682">
        <v>9.7932649815445583</v>
      </c>
      <c r="C682">
        <v>3.3999879360198975</v>
      </c>
      <c r="D682">
        <v>11.073367527176178</v>
      </c>
      <c r="E682">
        <v>9.7932649815445583</v>
      </c>
      <c r="F682">
        <v>3.3999879360198975</v>
      </c>
      <c r="G682">
        <v>11.073367527176178</v>
      </c>
      <c r="H682">
        <v>24.266620444740632</v>
      </c>
    </row>
    <row r="683" spans="1:8" x14ac:dyDescent="0.55000000000000004">
      <c r="A683">
        <v>680</v>
      </c>
      <c r="B683">
        <v>9.0848523020898764</v>
      </c>
      <c r="C683">
        <v>4.1412741541862488</v>
      </c>
      <c r="D683">
        <v>12.217580483975942</v>
      </c>
      <c r="E683">
        <v>9.0848523020898764</v>
      </c>
      <c r="F683">
        <v>4.1412741541862488</v>
      </c>
      <c r="G683">
        <v>12.217580483975942</v>
      </c>
      <c r="H683">
        <v>25.443706940252067</v>
      </c>
    </row>
    <row r="684" spans="1:8" x14ac:dyDescent="0.55000000000000004">
      <c r="A684">
        <v>681</v>
      </c>
      <c r="B684">
        <v>10.58408876953416</v>
      </c>
      <c r="C684">
        <v>4.4510701894760132</v>
      </c>
      <c r="D684">
        <v>10.090861649488875</v>
      </c>
      <c r="E684">
        <v>10.58408876953416</v>
      </c>
      <c r="F684">
        <v>4.4510701894760132</v>
      </c>
      <c r="G684">
        <v>10.090861649488875</v>
      </c>
      <c r="H684">
        <v>25.126020608499047</v>
      </c>
    </row>
    <row r="685" spans="1:8" x14ac:dyDescent="0.55000000000000004">
      <c r="A685">
        <v>682</v>
      </c>
      <c r="B685">
        <v>10.365883474240967</v>
      </c>
      <c r="C685">
        <v>4.7619312405586243</v>
      </c>
      <c r="D685">
        <v>11.979296696724816</v>
      </c>
      <c r="E685">
        <v>10.365883474240967</v>
      </c>
      <c r="F685">
        <v>4.7619312405586243</v>
      </c>
      <c r="G685">
        <v>11.979296696724816</v>
      </c>
      <c r="H685">
        <v>27.107111411524407</v>
      </c>
    </row>
    <row r="686" spans="1:8" x14ac:dyDescent="0.55000000000000004">
      <c r="A686">
        <v>683</v>
      </c>
      <c r="B686">
        <v>10.594067467955403</v>
      </c>
      <c r="C686">
        <v>2.321624755859375</v>
      </c>
      <c r="D686">
        <v>13.015885723150921</v>
      </c>
      <c r="E686">
        <v>10.594067467955403</v>
      </c>
      <c r="F686">
        <v>2.321624755859375</v>
      </c>
      <c r="G686">
        <v>13.015885723150921</v>
      </c>
      <c r="H686">
        <v>25.9315779469657</v>
      </c>
    </row>
    <row r="687" spans="1:8" x14ac:dyDescent="0.55000000000000004">
      <c r="A687">
        <v>684</v>
      </c>
      <c r="B687">
        <v>7.865467839136782</v>
      </c>
      <c r="C687">
        <v>4.4179686903953552</v>
      </c>
      <c r="D687">
        <v>12.660182819294409</v>
      </c>
      <c r="E687">
        <v>7.865467839136782</v>
      </c>
      <c r="F687">
        <v>4.4179686903953552</v>
      </c>
      <c r="G687">
        <v>12.660182819294409</v>
      </c>
      <c r="H687">
        <v>24.943619348826545</v>
      </c>
    </row>
    <row r="688" spans="1:8" x14ac:dyDescent="0.55000000000000004">
      <c r="A688">
        <v>685</v>
      </c>
      <c r="B688">
        <v>9.9577868003231664</v>
      </c>
      <c r="C688">
        <v>3.8863235712051392</v>
      </c>
      <c r="D688">
        <v>13.791818740702187</v>
      </c>
      <c r="E688">
        <v>9.9577868003231664</v>
      </c>
      <c r="F688">
        <v>3.8863235712051392</v>
      </c>
      <c r="G688">
        <v>13.791818740702187</v>
      </c>
      <c r="H688">
        <v>27.635929112230492</v>
      </c>
    </row>
    <row r="689" spans="1:8" x14ac:dyDescent="0.55000000000000004">
      <c r="A689">
        <v>686</v>
      </c>
      <c r="B689">
        <v>10.027140666021037</v>
      </c>
      <c r="C689">
        <v>3.7979317307472229</v>
      </c>
      <c r="D689">
        <v>11.611004051217609</v>
      </c>
      <c r="E689">
        <v>10.027140666021037</v>
      </c>
      <c r="F689">
        <v>3.7979317307472229</v>
      </c>
      <c r="G689">
        <v>11.611004051217609</v>
      </c>
      <c r="H689">
        <v>25.436076447985869</v>
      </c>
    </row>
    <row r="690" spans="1:8" x14ac:dyDescent="0.55000000000000004">
      <c r="A690">
        <v>687</v>
      </c>
      <c r="B690">
        <v>10.14611431827292</v>
      </c>
      <c r="C690">
        <v>3.3278830051422119</v>
      </c>
      <c r="D690">
        <v>11.308578491121974</v>
      </c>
      <c r="E690">
        <v>10.14611431827292</v>
      </c>
      <c r="F690">
        <v>3.3278830051422119</v>
      </c>
      <c r="G690">
        <v>11.308578491121974</v>
      </c>
      <c r="H690">
        <v>24.782575814537104</v>
      </c>
    </row>
    <row r="691" spans="1:8" x14ac:dyDescent="0.55000000000000004">
      <c r="A691">
        <v>688</v>
      </c>
      <c r="B691">
        <v>11.299686556507407</v>
      </c>
      <c r="C691">
        <v>4.0856658816337585</v>
      </c>
      <c r="D691">
        <v>11.898248545344295</v>
      </c>
      <c r="E691">
        <v>11.299686556507407</v>
      </c>
      <c r="F691">
        <v>4.0856658816337585</v>
      </c>
      <c r="G691">
        <v>11.898248545344295</v>
      </c>
      <c r="H691">
        <v>27.28360098348546</v>
      </c>
    </row>
    <row r="692" spans="1:8" x14ac:dyDescent="0.55000000000000004">
      <c r="A692">
        <v>689</v>
      </c>
      <c r="B692">
        <v>8.878820448441493</v>
      </c>
      <c r="C692">
        <v>4.5184115171432495</v>
      </c>
      <c r="D692">
        <v>11.814160835695979</v>
      </c>
      <c r="E692">
        <v>8.878820448441493</v>
      </c>
      <c r="F692">
        <v>4.5184115171432495</v>
      </c>
      <c r="G692">
        <v>11.814160835695979</v>
      </c>
      <c r="H692">
        <v>25.211392801280724</v>
      </c>
    </row>
    <row r="693" spans="1:8" x14ac:dyDescent="0.55000000000000004">
      <c r="A693">
        <v>690</v>
      </c>
      <c r="B693">
        <v>10.970240587019953</v>
      </c>
      <c r="C693">
        <v>4.1639302372932434</v>
      </c>
      <c r="D693">
        <v>11.502070111107621</v>
      </c>
      <c r="E693">
        <v>10.970240587019953</v>
      </c>
      <c r="F693">
        <v>4.1639302372932434</v>
      </c>
      <c r="G693">
        <v>11.502070111107621</v>
      </c>
      <c r="H693">
        <v>26.636240935420815</v>
      </c>
    </row>
    <row r="694" spans="1:8" x14ac:dyDescent="0.55000000000000004">
      <c r="A694">
        <v>691</v>
      </c>
      <c r="B694">
        <v>10.013721193721361</v>
      </c>
      <c r="C694">
        <v>2.0218510627746582</v>
      </c>
      <c r="D694">
        <v>13.68079217026335</v>
      </c>
      <c r="E694">
        <v>10.013721193721361</v>
      </c>
      <c r="F694">
        <v>2.0218510627746582</v>
      </c>
      <c r="G694">
        <v>13.68079217026335</v>
      </c>
      <c r="H694">
        <v>25.71636442675937</v>
      </c>
    </row>
    <row r="695" spans="1:8" x14ac:dyDescent="0.55000000000000004">
      <c r="A695">
        <v>692</v>
      </c>
      <c r="B695">
        <v>11.143969146603293</v>
      </c>
      <c r="C695">
        <v>2.0484794974327087</v>
      </c>
      <c r="D695">
        <v>11.854978155228553</v>
      </c>
      <c r="E695">
        <v>11.143969146603293</v>
      </c>
      <c r="F695">
        <v>2.0484794974327087</v>
      </c>
      <c r="G695">
        <v>11.854978155228553</v>
      </c>
      <c r="H695">
        <v>25.047426799264557</v>
      </c>
    </row>
    <row r="696" spans="1:8" x14ac:dyDescent="0.55000000000000004">
      <c r="A696">
        <v>693</v>
      </c>
      <c r="B696">
        <v>10.935814062429147</v>
      </c>
      <c r="C696">
        <v>3.8737622499465942</v>
      </c>
      <c r="D696">
        <v>11.916927606677319</v>
      </c>
      <c r="E696">
        <v>10.935814062429147</v>
      </c>
      <c r="F696">
        <v>3.8737622499465942</v>
      </c>
      <c r="G696">
        <v>11.916927606677319</v>
      </c>
      <c r="H696">
        <v>26.726503919053059</v>
      </c>
    </row>
    <row r="697" spans="1:8" x14ac:dyDescent="0.55000000000000004">
      <c r="A697">
        <v>694</v>
      </c>
      <c r="B697">
        <v>10.191587751247104</v>
      </c>
      <c r="C697">
        <v>2.3338647484779358</v>
      </c>
      <c r="D697">
        <v>13.041596488316262</v>
      </c>
      <c r="E697">
        <v>10.191587751247104</v>
      </c>
      <c r="F697">
        <v>2.3338647484779358</v>
      </c>
      <c r="G697">
        <v>13.041596488316262</v>
      </c>
      <c r="H697">
        <v>25.5670489880413</v>
      </c>
    </row>
    <row r="698" spans="1:8" x14ac:dyDescent="0.55000000000000004">
      <c r="A698">
        <v>695</v>
      </c>
      <c r="B698">
        <v>8.7854049142229407</v>
      </c>
      <c r="C698">
        <v>3.0447032451629639</v>
      </c>
      <c r="D698">
        <v>12.783893642336333</v>
      </c>
      <c r="E698">
        <v>8.7854049142229407</v>
      </c>
      <c r="F698">
        <v>3.0447032451629639</v>
      </c>
      <c r="G698">
        <v>12.783893642336333</v>
      </c>
      <c r="H698">
        <v>24.614001801722239</v>
      </c>
    </row>
    <row r="699" spans="1:8" x14ac:dyDescent="0.55000000000000004">
      <c r="A699">
        <v>696</v>
      </c>
      <c r="B699">
        <v>12.315753917012662</v>
      </c>
      <c r="C699">
        <v>2.1822029948234558</v>
      </c>
      <c r="D699">
        <v>11.961680176665986</v>
      </c>
      <c r="E699">
        <v>12.315753917012662</v>
      </c>
      <c r="F699">
        <v>2.1822029948234558</v>
      </c>
      <c r="G699">
        <v>11.961680176665986</v>
      </c>
      <c r="H699">
        <v>26.459637088502106</v>
      </c>
    </row>
    <row r="700" spans="1:8" x14ac:dyDescent="0.55000000000000004">
      <c r="A700">
        <v>697</v>
      </c>
      <c r="B700">
        <v>11.777015462753395</v>
      </c>
      <c r="C700">
        <v>3.2434524297714233</v>
      </c>
      <c r="D700">
        <v>10.448290986373863</v>
      </c>
      <c r="E700">
        <v>11.777015462753395</v>
      </c>
      <c r="F700">
        <v>3.2434524297714233</v>
      </c>
      <c r="G700">
        <v>10.448290986373863</v>
      </c>
      <c r="H700">
        <v>25.468758878898683</v>
      </c>
    </row>
    <row r="701" spans="1:8" x14ac:dyDescent="0.55000000000000004">
      <c r="A701">
        <v>698</v>
      </c>
      <c r="B701">
        <v>9.6030121871291723</v>
      </c>
      <c r="C701">
        <v>4.13616544008255</v>
      </c>
      <c r="D701">
        <v>12.442159516074568</v>
      </c>
      <c r="E701">
        <v>9.6030121871291723</v>
      </c>
      <c r="F701">
        <v>4.13616544008255</v>
      </c>
      <c r="G701">
        <v>12.442159516074568</v>
      </c>
      <c r="H701">
        <v>26.181337143286292</v>
      </c>
    </row>
    <row r="702" spans="1:8" x14ac:dyDescent="0.55000000000000004">
      <c r="A702">
        <v>699</v>
      </c>
      <c r="B702">
        <v>9.9901203220427455</v>
      </c>
      <c r="C702">
        <v>4.4663248062133789</v>
      </c>
      <c r="D702">
        <v>11.993400802645288</v>
      </c>
      <c r="E702">
        <v>9.9901203220427455</v>
      </c>
      <c r="F702">
        <v>4.4663248062133789</v>
      </c>
      <c r="G702">
        <v>11.993400802645288</v>
      </c>
      <c r="H702">
        <v>26.449845930901411</v>
      </c>
    </row>
    <row r="703" spans="1:8" x14ac:dyDescent="0.55000000000000004">
      <c r="A703">
        <v>700</v>
      </c>
      <c r="B703">
        <v>11.216720604151197</v>
      </c>
      <c r="C703">
        <v>2.7874345183372498</v>
      </c>
      <c r="D703">
        <v>12.451953876360381</v>
      </c>
      <c r="E703">
        <v>11.216720604151197</v>
      </c>
      <c r="F703">
        <v>2.7874345183372498</v>
      </c>
      <c r="G703">
        <v>12.451953876360381</v>
      </c>
      <c r="H703">
        <v>26.456108998848826</v>
      </c>
    </row>
    <row r="704" spans="1:8" x14ac:dyDescent="0.55000000000000004">
      <c r="A704">
        <v>701</v>
      </c>
      <c r="B704">
        <v>9.7672054549407843</v>
      </c>
      <c r="C704">
        <v>4.4488321542739868</v>
      </c>
      <c r="D704">
        <v>12.442125086535075</v>
      </c>
      <c r="E704">
        <v>9.7672054549407843</v>
      </c>
      <c r="F704">
        <v>4.4488321542739868</v>
      </c>
      <c r="G704">
        <v>12.442125086535075</v>
      </c>
      <c r="H704">
        <v>26.658162695749844</v>
      </c>
    </row>
    <row r="705" spans="1:8" x14ac:dyDescent="0.55000000000000004">
      <c r="A705">
        <v>702</v>
      </c>
      <c r="B705">
        <v>8.5216100947671016</v>
      </c>
      <c r="C705">
        <v>4.0818796753883362</v>
      </c>
      <c r="D705">
        <v>10.481985783094252</v>
      </c>
      <c r="E705">
        <v>8.5216100947671016</v>
      </c>
      <c r="F705">
        <v>4.0818796753883362</v>
      </c>
      <c r="G705">
        <v>10.481985783094252</v>
      </c>
      <c r="H705">
        <v>23.08547555324969</v>
      </c>
    </row>
    <row r="706" spans="1:8" x14ac:dyDescent="0.55000000000000004">
      <c r="A706">
        <v>703</v>
      </c>
      <c r="B706">
        <v>9.1766260412941492</v>
      </c>
      <c r="C706">
        <v>3.9259369373321533</v>
      </c>
      <c r="D706">
        <v>14.29050344256698</v>
      </c>
      <c r="E706">
        <v>9.1766260412941492</v>
      </c>
      <c r="F706">
        <v>3.9259369373321533</v>
      </c>
      <c r="G706">
        <v>14.29050344256698</v>
      </c>
      <c r="H706">
        <v>27.393066421193282</v>
      </c>
    </row>
    <row r="707" spans="1:8" x14ac:dyDescent="0.55000000000000004">
      <c r="A707">
        <v>704</v>
      </c>
      <c r="B707">
        <v>10.196640874866466</v>
      </c>
      <c r="C707">
        <v>4.7927019000053406</v>
      </c>
      <c r="D707">
        <v>12.822134389683322</v>
      </c>
      <c r="E707">
        <v>10.196640874866466</v>
      </c>
      <c r="F707">
        <v>4.7927019000053406</v>
      </c>
      <c r="G707">
        <v>12.822134389683322</v>
      </c>
      <c r="H707">
        <v>27.811477164555129</v>
      </c>
    </row>
    <row r="708" spans="1:8" x14ac:dyDescent="0.55000000000000004">
      <c r="A708">
        <v>705</v>
      </c>
      <c r="B708">
        <v>12.115280282795094</v>
      </c>
      <c r="C708">
        <v>4.3571499586105347</v>
      </c>
      <c r="D708">
        <v>11.261785971914648</v>
      </c>
      <c r="E708">
        <v>12.115280282795094</v>
      </c>
      <c r="F708">
        <v>4.3571499586105347</v>
      </c>
      <c r="G708">
        <v>11.261785971914648</v>
      </c>
      <c r="H708">
        <v>27.734216213320277</v>
      </c>
    </row>
    <row r="709" spans="1:8" x14ac:dyDescent="0.55000000000000004">
      <c r="A709">
        <v>706</v>
      </c>
      <c r="B709">
        <v>11.363061132198881</v>
      </c>
      <c r="C709">
        <v>4.4427970051765442</v>
      </c>
      <c r="D709">
        <v>12.548241430942298</v>
      </c>
      <c r="E709">
        <v>11.363061132198881</v>
      </c>
      <c r="F709">
        <v>4.4427970051765442</v>
      </c>
      <c r="G709">
        <v>12.548241430942298</v>
      </c>
      <c r="H709">
        <v>28.354099568317721</v>
      </c>
    </row>
    <row r="710" spans="1:8" x14ac:dyDescent="0.55000000000000004">
      <c r="A710">
        <v>707</v>
      </c>
      <c r="B710">
        <v>9.5541291652948974</v>
      </c>
      <c r="C710">
        <v>2.5227217674255371</v>
      </c>
      <c r="D710">
        <v>12.460873355208538</v>
      </c>
      <c r="E710">
        <v>9.5541291652948974</v>
      </c>
      <c r="F710">
        <v>2.5227217674255371</v>
      </c>
      <c r="G710">
        <v>12.460873355208538</v>
      </c>
      <c r="H710">
        <v>24.537724287928974</v>
      </c>
    </row>
    <row r="711" spans="1:8" x14ac:dyDescent="0.55000000000000004">
      <c r="A711">
        <v>708</v>
      </c>
      <c r="B711">
        <v>9.9674947363953308</v>
      </c>
      <c r="C711">
        <v>2.7075876593589783</v>
      </c>
      <c r="D711">
        <v>13.820508910102426</v>
      </c>
      <c r="E711">
        <v>9.9674947363953308</v>
      </c>
      <c r="F711">
        <v>2.7075876593589783</v>
      </c>
      <c r="G711">
        <v>13.820508910102426</v>
      </c>
      <c r="H711">
        <v>26.495591305856735</v>
      </c>
    </row>
    <row r="712" spans="1:8" x14ac:dyDescent="0.55000000000000004">
      <c r="A712">
        <v>709</v>
      </c>
      <c r="B712">
        <v>9.1420305160923476</v>
      </c>
      <c r="C712">
        <v>2.1471778154373169</v>
      </c>
      <c r="D712">
        <v>12.914406579782288</v>
      </c>
      <c r="E712">
        <v>9.1420305160923476</v>
      </c>
      <c r="F712">
        <v>2.1471778154373169</v>
      </c>
      <c r="G712">
        <v>12.914406579782288</v>
      </c>
      <c r="H712">
        <v>24.203614911311952</v>
      </c>
    </row>
    <row r="713" spans="1:8" x14ac:dyDescent="0.55000000000000004">
      <c r="A713">
        <v>710</v>
      </c>
      <c r="B713">
        <v>9.8851485891106314</v>
      </c>
      <c r="C713">
        <v>2.0795741677284241</v>
      </c>
      <c r="D713">
        <v>12.89012660510336</v>
      </c>
      <c r="E713">
        <v>9.8851485891106314</v>
      </c>
      <c r="F713">
        <v>2.0795741677284241</v>
      </c>
      <c r="G713">
        <v>12.89012660510336</v>
      </c>
      <c r="H713">
        <v>24.854849361942414</v>
      </c>
    </row>
    <row r="714" spans="1:8" x14ac:dyDescent="0.55000000000000004">
      <c r="A714">
        <v>711</v>
      </c>
      <c r="B714">
        <v>11.044545031125654</v>
      </c>
      <c r="C714">
        <v>3.4564473628997803</v>
      </c>
      <c r="D714">
        <v>11.286775583333434</v>
      </c>
      <c r="E714">
        <v>11.044545031125654</v>
      </c>
      <c r="F714">
        <v>3.4564473628997803</v>
      </c>
      <c r="G714">
        <v>11.286775583333434</v>
      </c>
      <c r="H714">
        <v>25.787767977358868</v>
      </c>
    </row>
    <row r="715" spans="1:8" x14ac:dyDescent="0.55000000000000004">
      <c r="A715">
        <v>712</v>
      </c>
      <c r="B715">
        <v>10.703567991205498</v>
      </c>
      <c r="C715">
        <v>3.3258540034294128</v>
      </c>
      <c r="D715">
        <v>12.920991124704653</v>
      </c>
      <c r="E715">
        <v>10.703567991205498</v>
      </c>
      <c r="F715">
        <v>3.3258540034294128</v>
      </c>
      <c r="G715">
        <v>12.920991124704653</v>
      </c>
      <c r="H715">
        <v>26.950413119339565</v>
      </c>
    </row>
    <row r="716" spans="1:8" x14ac:dyDescent="0.55000000000000004">
      <c r="A716">
        <v>713</v>
      </c>
      <c r="B716">
        <v>9.2529382190894829</v>
      </c>
      <c r="C716">
        <v>4.3248361349105835</v>
      </c>
      <c r="D716">
        <v>14.358134145606842</v>
      </c>
      <c r="E716">
        <v>9.2529382190894829</v>
      </c>
      <c r="F716">
        <v>4.3248361349105835</v>
      </c>
      <c r="G716">
        <v>14.358134145606842</v>
      </c>
      <c r="H716">
        <v>27.93590849960691</v>
      </c>
    </row>
    <row r="717" spans="1:8" x14ac:dyDescent="0.55000000000000004">
      <c r="A717">
        <v>714</v>
      </c>
      <c r="B717">
        <v>8.7277492050377692</v>
      </c>
      <c r="C717">
        <v>3.0198600888252258</v>
      </c>
      <c r="D717">
        <v>12.979739352225639</v>
      </c>
      <c r="E717">
        <v>8.7277492050377692</v>
      </c>
      <c r="F717">
        <v>3.0198600888252258</v>
      </c>
      <c r="G717">
        <v>12.979739352225639</v>
      </c>
      <c r="H717">
        <v>24.727348646088636</v>
      </c>
    </row>
    <row r="718" spans="1:8" x14ac:dyDescent="0.55000000000000004">
      <c r="A718">
        <v>715</v>
      </c>
      <c r="B718">
        <v>9.3985883150587988</v>
      </c>
      <c r="C718">
        <v>2.4180927276611328</v>
      </c>
      <c r="D718">
        <v>11.451061670731864</v>
      </c>
      <c r="E718">
        <v>9.3985883150587988</v>
      </c>
      <c r="F718">
        <v>2.4180927276611328</v>
      </c>
      <c r="G718">
        <v>11.451061670731864</v>
      </c>
      <c r="H718">
        <v>23.267742713451796</v>
      </c>
    </row>
    <row r="719" spans="1:8" x14ac:dyDescent="0.55000000000000004">
      <c r="A719">
        <v>716</v>
      </c>
      <c r="B719">
        <v>10.844204252279203</v>
      </c>
      <c r="C719">
        <v>3.1785678267478943</v>
      </c>
      <c r="D719">
        <v>10.674645853740584</v>
      </c>
      <c r="E719">
        <v>10.844204252279203</v>
      </c>
      <c r="F719">
        <v>3.1785678267478943</v>
      </c>
      <c r="G719">
        <v>10.674645853740584</v>
      </c>
      <c r="H719">
        <v>24.697417932767681</v>
      </c>
    </row>
    <row r="720" spans="1:8" x14ac:dyDescent="0.55000000000000004">
      <c r="A720">
        <v>717</v>
      </c>
      <c r="B720">
        <v>9.0370190893890321</v>
      </c>
      <c r="C720">
        <v>3.4888187646865845</v>
      </c>
      <c r="D720">
        <v>13.87052686200415</v>
      </c>
      <c r="E720">
        <v>9.0370190893890321</v>
      </c>
      <c r="F720">
        <v>3.4888187646865845</v>
      </c>
      <c r="G720">
        <v>13.87052686200415</v>
      </c>
      <c r="H720">
        <v>26.396364716079766</v>
      </c>
    </row>
    <row r="721" spans="1:8" x14ac:dyDescent="0.55000000000000004">
      <c r="A721">
        <v>718</v>
      </c>
      <c r="B721">
        <v>10.740111911068309</v>
      </c>
      <c r="C721">
        <v>4.7864208817481995</v>
      </c>
      <c r="D721">
        <v>11.855701311494636</v>
      </c>
      <c r="E721">
        <v>10.740111911068309</v>
      </c>
      <c r="F721">
        <v>4.7864208817481995</v>
      </c>
      <c r="G721">
        <v>11.855701311494636</v>
      </c>
      <c r="H721">
        <v>27.382234104311145</v>
      </c>
    </row>
    <row r="722" spans="1:8" x14ac:dyDescent="0.55000000000000004">
      <c r="A722">
        <v>719</v>
      </c>
      <c r="B722">
        <v>9.8951035937993126</v>
      </c>
      <c r="C722">
        <v>2.7304728031158447</v>
      </c>
      <c r="D722">
        <v>12.703559176940225</v>
      </c>
      <c r="E722">
        <v>9.8951035937993126</v>
      </c>
      <c r="F722">
        <v>2.7304728031158447</v>
      </c>
      <c r="G722">
        <v>12.703559176940225</v>
      </c>
      <c r="H722">
        <v>25.329135573855382</v>
      </c>
    </row>
    <row r="723" spans="1:8" x14ac:dyDescent="0.55000000000000004">
      <c r="A723">
        <v>720</v>
      </c>
      <c r="B723">
        <v>8.5796838818363952</v>
      </c>
      <c r="C723">
        <v>2.7372257113456726</v>
      </c>
      <c r="D723">
        <v>13.070095460564454</v>
      </c>
      <c r="E723">
        <v>8.5796838818363952</v>
      </c>
      <c r="F723">
        <v>2.7372257113456726</v>
      </c>
      <c r="G723">
        <v>13.070095460564454</v>
      </c>
      <c r="H723">
        <v>24.38700505374652</v>
      </c>
    </row>
    <row r="724" spans="1:8" x14ac:dyDescent="0.55000000000000004">
      <c r="A724">
        <v>721</v>
      </c>
      <c r="B724">
        <v>9.9916243125556843</v>
      </c>
      <c r="C724">
        <v>2.8462179899215698</v>
      </c>
      <c r="D724">
        <v>11.807667538329589</v>
      </c>
      <c r="E724">
        <v>9.9916243125556843</v>
      </c>
      <c r="F724">
        <v>2.8462179899215698</v>
      </c>
      <c r="G724">
        <v>11.807667538329589</v>
      </c>
      <c r="H724">
        <v>24.645509840806845</v>
      </c>
    </row>
    <row r="725" spans="1:8" x14ac:dyDescent="0.55000000000000004">
      <c r="A725">
        <v>722</v>
      </c>
      <c r="B725">
        <v>10.84878299489638</v>
      </c>
      <c r="C725">
        <v>3.475264847278595</v>
      </c>
      <c r="D725">
        <v>10.699175444386078</v>
      </c>
      <c r="E725">
        <v>10.84878299489638</v>
      </c>
      <c r="F725">
        <v>3.475264847278595</v>
      </c>
      <c r="G725">
        <v>10.699175444386078</v>
      </c>
      <c r="H725">
        <v>25.023223286561056</v>
      </c>
    </row>
    <row r="726" spans="1:8" x14ac:dyDescent="0.55000000000000004">
      <c r="A726">
        <v>723</v>
      </c>
      <c r="B726">
        <v>10.666473532501188</v>
      </c>
      <c r="C726">
        <v>4.238863468170166</v>
      </c>
      <c r="D726">
        <v>11.192484633388718</v>
      </c>
      <c r="E726">
        <v>10.666473532501188</v>
      </c>
      <c r="F726">
        <v>4.238863468170166</v>
      </c>
      <c r="G726">
        <v>11.192484633388718</v>
      </c>
      <c r="H726">
        <v>26.097821634060072</v>
      </c>
    </row>
    <row r="727" spans="1:8" x14ac:dyDescent="0.55000000000000004">
      <c r="A727">
        <v>724</v>
      </c>
      <c r="B727">
        <v>9.0165956266149081</v>
      </c>
      <c r="C727">
        <v>3.3668789267539978</v>
      </c>
      <c r="D727">
        <v>11.553143141581083</v>
      </c>
      <c r="E727">
        <v>9.0165956266149081</v>
      </c>
      <c r="F727">
        <v>3.3668789267539978</v>
      </c>
      <c r="G727">
        <v>11.553143141581083</v>
      </c>
      <c r="H727">
        <v>23.936617694949987</v>
      </c>
    </row>
    <row r="728" spans="1:8" x14ac:dyDescent="0.55000000000000004">
      <c r="A728">
        <v>725</v>
      </c>
      <c r="B728">
        <v>10.917415895270016</v>
      </c>
      <c r="C728">
        <v>2.4781495332717896</v>
      </c>
      <c r="D728">
        <v>12.802711385211417</v>
      </c>
      <c r="E728">
        <v>10.917415895270016</v>
      </c>
      <c r="F728">
        <v>2.4781495332717896</v>
      </c>
      <c r="G728">
        <v>12.802711385211417</v>
      </c>
      <c r="H728">
        <v>26.198276813753225</v>
      </c>
    </row>
    <row r="729" spans="1:8" x14ac:dyDescent="0.55000000000000004">
      <c r="A729">
        <v>726</v>
      </c>
      <c r="B729">
        <v>8.9043298761674716</v>
      </c>
      <c r="C729">
        <v>4.5837674736976624</v>
      </c>
      <c r="D729">
        <v>14.223623599700888</v>
      </c>
      <c r="E729">
        <v>8.9043298761674716</v>
      </c>
      <c r="F729">
        <v>4.5837674736976624</v>
      </c>
      <c r="G729">
        <v>14.223623599700888</v>
      </c>
      <c r="H729">
        <v>27.711720949566022</v>
      </c>
    </row>
    <row r="730" spans="1:8" x14ac:dyDescent="0.55000000000000004">
      <c r="A730">
        <v>727</v>
      </c>
      <c r="B730">
        <v>9.5338983271639837</v>
      </c>
      <c r="C730">
        <v>4.9516265392303467</v>
      </c>
      <c r="D730">
        <v>12.428089522633101</v>
      </c>
      <c r="E730">
        <v>9.5338983271639837</v>
      </c>
      <c r="F730">
        <v>4.9516265392303467</v>
      </c>
      <c r="G730">
        <v>12.428089522633101</v>
      </c>
      <c r="H730">
        <v>26.91361438902743</v>
      </c>
    </row>
    <row r="731" spans="1:8" x14ac:dyDescent="0.55000000000000004">
      <c r="A731">
        <v>728</v>
      </c>
      <c r="B731">
        <v>8.138411893069053</v>
      </c>
      <c r="C731">
        <v>2.0292584300041199</v>
      </c>
      <c r="D731">
        <v>12.035668398494977</v>
      </c>
      <c r="E731">
        <v>8.138411893069053</v>
      </c>
      <c r="F731">
        <v>2.0292584300041199</v>
      </c>
      <c r="G731">
        <v>12.035668398494977</v>
      </c>
      <c r="H731">
        <v>22.203338721568151</v>
      </c>
    </row>
    <row r="732" spans="1:8" x14ac:dyDescent="0.55000000000000004">
      <c r="A732">
        <v>729</v>
      </c>
      <c r="B732">
        <v>11.063186913107341</v>
      </c>
      <c r="C732">
        <v>4.3553775548934937</v>
      </c>
      <c r="D732">
        <v>11.514039419527766</v>
      </c>
      <c r="E732">
        <v>11.063186913107341</v>
      </c>
      <c r="F732">
        <v>4.3553775548934937</v>
      </c>
      <c r="G732">
        <v>11.514039419527766</v>
      </c>
      <c r="H732">
        <v>26.9326038875286</v>
      </c>
    </row>
    <row r="733" spans="1:8" x14ac:dyDescent="0.55000000000000004">
      <c r="A733">
        <v>730</v>
      </c>
      <c r="B733">
        <v>10.627560646254716</v>
      </c>
      <c r="C733">
        <v>4.5887964367866516</v>
      </c>
      <c r="D733">
        <v>13.574075366397395</v>
      </c>
      <c r="E733">
        <v>10.627560646254716</v>
      </c>
      <c r="F733">
        <v>4.5887964367866516</v>
      </c>
      <c r="G733">
        <v>13.574075366397395</v>
      </c>
      <c r="H733">
        <v>28.790432449438761</v>
      </c>
    </row>
    <row r="734" spans="1:8" x14ac:dyDescent="0.55000000000000004">
      <c r="A734">
        <v>731</v>
      </c>
      <c r="B734">
        <v>10.852504951018956</v>
      </c>
      <c r="C734">
        <v>3.4308347702026367</v>
      </c>
      <c r="D734">
        <v>12.894565660407546</v>
      </c>
      <c r="E734">
        <v>10.852504951018956</v>
      </c>
      <c r="F734">
        <v>3.4308347702026367</v>
      </c>
      <c r="G734">
        <v>12.894565660407546</v>
      </c>
      <c r="H734">
        <v>27.177905381629138</v>
      </c>
    </row>
    <row r="735" spans="1:8" x14ac:dyDescent="0.55000000000000004">
      <c r="A735">
        <v>732</v>
      </c>
      <c r="B735">
        <v>10.278279929854595</v>
      </c>
      <c r="C735">
        <v>4.7358998656272888</v>
      </c>
      <c r="D735">
        <v>13.411546532416425</v>
      </c>
      <c r="E735">
        <v>10.278279929854595</v>
      </c>
      <c r="F735">
        <v>4.7358998656272888</v>
      </c>
      <c r="G735">
        <v>13.411546532416425</v>
      </c>
      <c r="H735">
        <v>28.42572632789831</v>
      </c>
    </row>
    <row r="736" spans="1:8" x14ac:dyDescent="0.55000000000000004">
      <c r="A736">
        <v>733</v>
      </c>
      <c r="B736">
        <v>10.426044668782536</v>
      </c>
      <c r="C736">
        <v>3.1039396524429321</v>
      </c>
      <c r="D736">
        <v>11.974039480374959</v>
      </c>
      <c r="E736">
        <v>10.426044668782536</v>
      </c>
      <c r="F736">
        <v>3.1039396524429321</v>
      </c>
      <c r="G736">
        <v>11.974039480374959</v>
      </c>
      <c r="H736">
        <v>25.504023801600425</v>
      </c>
    </row>
    <row r="737" spans="1:8" x14ac:dyDescent="0.55000000000000004">
      <c r="A737">
        <v>734</v>
      </c>
      <c r="B737">
        <v>9.3246971080308736</v>
      </c>
      <c r="C737">
        <v>3.2748365998268127</v>
      </c>
      <c r="D737">
        <v>12.305275359199015</v>
      </c>
      <c r="E737">
        <v>9.3246971080308736</v>
      </c>
      <c r="F737">
        <v>3.2748365998268127</v>
      </c>
      <c r="G737">
        <v>12.305275359199015</v>
      </c>
      <c r="H737">
        <v>24.904809067056703</v>
      </c>
    </row>
    <row r="738" spans="1:8" x14ac:dyDescent="0.55000000000000004">
      <c r="A738">
        <v>735</v>
      </c>
      <c r="B738">
        <v>8.8541187416417273</v>
      </c>
      <c r="C738">
        <v>4.9328968524932861</v>
      </c>
      <c r="D738">
        <v>11.752228578072723</v>
      </c>
      <c r="E738">
        <v>8.8541187416417273</v>
      </c>
      <c r="F738">
        <v>4.9328968524932861</v>
      </c>
      <c r="G738">
        <v>11.752228578072723</v>
      </c>
      <c r="H738">
        <v>25.539244172207738</v>
      </c>
    </row>
    <row r="739" spans="1:8" x14ac:dyDescent="0.55000000000000004">
      <c r="A739">
        <v>736</v>
      </c>
      <c r="B739">
        <v>10.177776933917293</v>
      </c>
      <c r="C739">
        <v>4.7512685656547546</v>
      </c>
      <c r="D739">
        <v>11.17586955502469</v>
      </c>
      <c r="E739">
        <v>10.177776933917293</v>
      </c>
      <c r="F739">
        <v>4.7512685656547546</v>
      </c>
      <c r="G739">
        <v>11.17586955502469</v>
      </c>
      <c r="H739">
        <v>26.104915054596738</v>
      </c>
    </row>
    <row r="740" spans="1:8" x14ac:dyDescent="0.55000000000000004">
      <c r="A740">
        <v>737</v>
      </c>
      <c r="B740">
        <v>8.9085362610365699</v>
      </c>
      <c r="C740">
        <v>4.520771861076355</v>
      </c>
      <c r="D740">
        <v>11.810743302735927</v>
      </c>
      <c r="E740">
        <v>8.9085362610365699</v>
      </c>
      <c r="F740">
        <v>4.520771861076355</v>
      </c>
      <c r="G740">
        <v>11.810743302735927</v>
      </c>
      <c r="H740">
        <v>25.240051424848851</v>
      </c>
    </row>
    <row r="741" spans="1:8" x14ac:dyDescent="0.55000000000000004">
      <c r="A741">
        <v>738</v>
      </c>
      <c r="B741">
        <v>11.630928004408466</v>
      </c>
      <c r="C741">
        <v>4.8121150135993958</v>
      </c>
      <c r="D741">
        <v>11.34152196652758</v>
      </c>
      <c r="E741">
        <v>11.630928004408466</v>
      </c>
      <c r="F741">
        <v>4.8121150135993958</v>
      </c>
      <c r="G741">
        <v>11.34152196652758</v>
      </c>
      <c r="H741">
        <v>27.784564984535443</v>
      </c>
    </row>
    <row r="742" spans="1:8" x14ac:dyDescent="0.55000000000000004">
      <c r="A742">
        <v>739</v>
      </c>
      <c r="B742">
        <v>10.346107410609907</v>
      </c>
      <c r="C742">
        <v>4.2991824150085449</v>
      </c>
      <c r="D742">
        <v>11.588590047964624</v>
      </c>
      <c r="E742">
        <v>10.346107410609907</v>
      </c>
      <c r="F742">
        <v>4.2991824150085449</v>
      </c>
      <c r="G742">
        <v>11.588590047964624</v>
      </c>
      <c r="H742">
        <v>26.233879873583078</v>
      </c>
    </row>
    <row r="743" spans="1:8" x14ac:dyDescent="0.55000000000000004">
      <c r="A743">
        <v>740</v>
      </c>
      <c r="B743">
        <v>9.6975631776191111</v>
      </c>
      <c r="C743">
        <v>3.5458845496177673</v>
      </c>
      <c r="D743">
        <v>12.997735322213266</v>
      </c>
      <c r="E743">
        <v>9.6975631776191111</v>
      </c>
      <c r="F743">
        <v>3.5458845496177673</v>
      </c>
      <c r="G743">
        <v>12.997735322213266</v>
      </c>
      <c r="H743">
        <v>26.241183049450143</v>
      </c>
    </row>
    <row r="744" spans="1:8" x14ac:dyDescent="0.55000000000000004">
      <c r="A744">
        <v>741</v>
      </c>
      <c r="B744">
        <v>10.606498750424866</v>
      </c>
      <c r="C744">
        <v>2.8393336534500122</v>
      </c>
      <c r="D744">
        <v>13.404911098775399</v>
      </c>
      <c r="E744">
        <v>10.606498750424866</v>
      </c>
      <c r="F744">
        <v>2.8393336534500122</v>
      </c>
      <c r="G744">
        <v>13.404911098775399</v>
      </c>
      <c r="H744">
        <v>26.850743502650275</v>
      </c>
    </row>
    <row r="745" spans="1:8" x14ac:dyDescent="0.55000000000000004">
      <c r="A745">
        <v>742</v>
      </c>
      <c r="B745">
        <v>11.198694265454376</v>
      </c>
      <c r="C745">
        <v>4.5847259163856506</v>
      </c>
      <c r="D745">
        <v>12.081199427517976</v>
      </c>
      <c r="E745">
        <v>11.198694265454376</v>
      </c>
      <c r="F745">
        <v>4.5847259163856506</v>
      </c>
      <c r="G745">
        <v>12.081199427517976</v>
      </c>
      <c r="H745">
        <v>27.864619609358002</v>
      </c>
    </row>
    <row r="746" spans="1:8" x14ac:dyDescent="0.55000000000000004">
      <c r="A746">
        <v>743</v>
      </c>
      <c r="B746">
        <v>9.879183184837645</v>
      </c>
      <c r="C746">
        <v>2.5966470241546631</v>
      </c>
      <c r="D746">
        <v>10.823122932240315</v>
      </c>
      <c r="E746">
        <v>9.879183184837645</v>
      </c>
      <c r="F746">
        <v>2.5966470241546631</v>
      </c>
      <c r="G746">
        <v>10.823122932240315</v>
      </c>
      <c r="H746">
        <v>23.298953141232623</v>
      </c>
    </row>
    <row r="747" spans="1:8" x14ac:dyDescent="0.55000000000000004">
      <c r="A747">
        <v>744</v>
      </c>
      <c r="B747">
        <v>10.251347901967794</v>
      </c>
      <c r="C747">
        <v>2.4994475245475769</v>
      </c>
      <c r="D747">
        <v>12.847237380228117</v>
      </c>
      <c r="E747">
        <v>10.251347901967794</v>
      </c>
      <c r="F747">
        <v>2.4994475245475769</v>
      </c>
      <c r="G747">
        <v>12.847237380228117</v>
      </c>
      <c r="H747">
        <v>25.59803280674349</v>
      </c>
    </row>
    <row r="748" spans="1:8" x14ac:dyDescent="0.55000000000000004">
      <c r="A748">
        <v>745</v>
      </c>
      <c r="B748">
        <v>9.8438964616281019</v>
      </c>
      <c r="C748">
        <v>3.7452329397201538</v>
      </c>
      <c r="D748">
        <v>12.028341864426785</v>
      </c>
      <c r="E748">
        <v>9.8438964616281019</v>
      </c>
      <c r="F748">
        <v>3.7452329397201538</v>
      </c>
      <c r="G748">
        <v>12.028341864426785</v>
      </c>
      <c r="H748">
        <v>25.617471265775041</v>
      </c>
    </row>
    <row r="749" spans="1:8" x14ac:dyDescent="0.55000000000000004">
      <c r="A749">
        <v>746</v>
      </c>
      <c r="B749">
        <v>9.5310235718010841</v>
      </c>
      <c r="C749">
        <v>3.7687557339668274</v>
      </c>
      <c r="D749">
        <v>11.428066147273995</v>
      </c>
      <c r="E749">
        <v>9.5310235718010841</v>
      </c>
      <c r="F749">
        <v>3.7687557339668274</v>
      </c>
      <c r="G749">
        <v>11.428066147273995</v>
      </c>
      <c r="H749">
        <v>24.727845453041908</v>
      </c>
    </row>
    <row r="750" spans="1:8" x14ac:dyDescent="0.55000000000000004">
      <c r="A750">
        <v>747</v>
      </c>
      <c r="B750">
        <v>8.5942745123112587</v>
      </c>
      <c r="C750">
        <v>3.5084571838378906</v>
      </c>
      <c r="D750">
        <v>12.729968114711337</v>
      </c>
      <c r="E750">
        <v>8.5942745123112587</v>
      </c>
      <c r="F750">
        <v>3.5084571838378906</v>
      </c>
      <c r="G750">
        <v>12.729968114711337</v>
      </c>
      <c r="H750">
        <v>24.832699810860486</v>
      </c>
    </row>
    <row r="751" spans="1:8" x14ac:dyDescent="0.55000000000000004">
      <c r="A751">
        <v>748</v>
      </c>
      <c r="B751">
        <v>9.7987464930249804</v>
      </c>
      <c r="C751">
        <v>4.3539618849754333</v>
      </c>
      <c r="D751">
        <v>14.033318728798443</v>
      </c>
      <c r="E751">
        <v>9.7987464930249804</v>
      </c>
      <c r="F751">
        <v>4.3539618849754333</v>
      </c>
      <c r="G751">
        <v>14.033318728798443</v>
      </c>
      <c r="H751">
        <v>28.186027106798857</v>
      </c>
    </row>
    <row r="752" spans="1:8" x14ac:dyDescent="0.55000000000000004">
      <c r="A752">
        <v>749</v>
      </c>
      <c r="B752">
        <v>8.3728782732381077</v>
      </c>
      <c r="C752">
        <v>3.1418510675430298</v>
      </c>
      <c r="D752">
        <v>12.780552839282958</v>
      </c>
      <c r="E752">
        <v>8.3728782732381077</v>
      </c>
      <c r="F752">
        <v>3.1418510675430298</v>
      </c>
      <c r="G752">
        <v>12.780552839282958</v>
      </c>
      <c r="H752">
        <v>24.295282180064095</v>
      </c>
    </row>
    <row r="753" spans="1:8" x14ac:dyDescent="0.55000000000000004">
      <c r="A753">
        <v>750</v>
      </c>
      <c r="B753">
        <v>9.7322441572833416</v>
      </c>
      <c r="C753">
        <v>3.660408079624176</v>
      </c>
      <c r="D753">
        <v>10.898907082615478</v>
      </c>
      <c r="E753">
        <v>9.7322441572833416</v>
      </c>
      <c r="F753">
        <v>3.660408079624176</v>
      </c>
      <c r="G753">
        <v>10.898907082615478</v>
      </c>
      <c r="H753">
        <v>24.291559319522996</v>
      </c>
    </row>
    <row r="754" spans="1:8" x14ac:dyDescent="0.55000000000000004">
      <c r="A754">
        <v>751</v>
      </c>
      <c r="B754">
        <v>9.3775434349740543</v>
      </c>
      <c r="C754">
        <v>4.4746153354644775</v>
      </c>
      <c r="D754">
        <v>11.679596122207853</v>
      </c>
      <c r="E754">
        <v>9.3775434349740543</v>
      </c>
      <c r="F754">
        <v>4.4746153354644775</v>
      </c>
      <c r="G754">
        <v>11.679596122207853</v>
      </c>
      <c r="H754">
        <v>25.531754892646383</v>
      </c>
    </row>
    <row r="755" spans="1:8" x14ac:dyDescent="0.55000000000000004">
      <c r="A755">
        <v>752</v>
      </c>
      <c r="B755">
        <v>9.9355192287975136</v>
      </c>
      <c r="C755">
        <v>3.4168617129325867</v>
      </c>
      <c r="D755">
        <v>12.767465268882599</v>
      </c>
      <c r="E755">
        <v>9.9355192287975136</v>
      </c>
      <c r="F755">
        <v>3.4168617129325867</v>
      </c>
      <c r="G755">
        <v>12.767465268882599</v>
      </c>
      <c r="H755">
        <v>26.1198462106127</v>
      </c>
    </row>
    <row r="756" spans="1:8" x14ac:dyDescent="0.55000000000000004">
      <c r="A756">
        <v>753</v>
      </c>
      <c r="B756">
        <v>10.306185163808477</v>
      </c>
      <c r="C756">
        <v>2.6659678220748901</v>
      </c>
      <c r="D756">
        <v>13.829378035020257</v>
      </c>
      <c r="E756">
        <v>10.306185163808477</v>
      </c>
      <c r="F756">
        <v>2.6659678220748901</v>
      </c>
      <c r="G756">
        <v>13.829378035020257</v>
      </c>
      <c r="H756">
        <v>26.801531020903624</v>
      </c>
    </row>
    <row r="757" spans="1:8" x14ac:dyDescent="0.55000000000000004">
      <c r="A757">
        <v>754</v>
      </c>
      <c r="B757">
        <v>8.3782826496584946</v>
      </c>
      <c r="C757">
        <v>3.7541287541389465</v>
      </c>
      <c r="D757">
        <v>13.489923230411156</v>
      </c>
      <c r="E757">
        <v>8.3782826496584946</v>
      </c>
      <c r="F757">
        <v>3.7541287541389465</v>
      </c>
      <c r="G757">
        <v>13.489923230411156</v>
      </c>
      <c r="H757">
        <v>25.622334634208599</v>
      </c>
    </row>
    <row r="758" spans="1:8" x14ac:dyDescent="0.55000000000000004">
      <c r="A758">
        <v>755</v>
      </c>
      <c r="B758">
        <v>8.7877520844171659</v>
      </c>
      <c r="C758">
        <v>3.5825848579406738</v>
      </c>
      <c r="D758">
        <v>13.281042891756213</v>
      </c>
      <c r="E758">
        <v>8.7877520844171659</v>
      </c>
      <c r="F758">
        <v>3.5825848579406738</v>
      </c>
      <c r="G758">
        <v>13.281042891756213</v>
      </c>
      <c r="H758">
        <v>25.651379834114053</v>
      </c>
    </row>
    <row r="759" spans="1:8" x14ac:dyDescent="0.55000000000000004">
      <c r="A759">
        <v>756</v>
      </c>
      <c r="B759">
        <v>11.140059547184398</v>
      </c>
      <c r="C759">
        <v>3.5141357779502869</v>
      </c>
      <c r="D759">
        <v>10.429921866570648</v>
      </c>
      <c r="E759">
        <v>11.140059547184398</v>
      </c>
      <c r="F759">
        <v>3.5141357779502869</v>
      </c>
      <c r="G759">
        <v>10.429921866570648</v>
      </c>
      <c r="H759">
        <v>25.084117191705332</v>
      </c>
    </row>
    <row r="760" spans="1:8" x14ac:dyDescent="0.55000000000000004">
      <c r="A760">
        <v>757</v>
      </c>
      <c r="B760">
        <v>9.140056554355219</v>
      </c>
      <c r="C760">
        <v>4.9533864259719849</v>
      </c>
      <c r="D760">
        <v>14.392144998501676</v>
      </c>
      <c r="E760">
        <v>9.140056554355219</v>
      </c>
      <c r="F760">
        <v>4.9533864259719849</v>
      </c>
      <c r="G760">
        <v>14.392144998501676</v>
      </c>
      <c r="H760">
        <v>28.485587978828882</v>
      </c>
    </row>
    <row r="761" spans="1:8" x14ac:dyDescent="0.55000000000000004">
      <c r="A761">
        <v>758</v>
      </c>
      <c r="B761">
        <v>9.1942558162042651</v>
      </c>
      <c r="C761">
        <v>3.5707307457923889</v>
      </c>
      <c r="D761">
        <v>11.696674415155989</v>
      </c>
      <c r="E761">
        <v>9.1942558162042651</v>
      </c>
      <c r="F761">
        <v>3.5707307457923889</v>
      </c>
      <c r="G761">
        <v>11.696674415155989</v>
      </c>
      <c r="H761">
        <v>24.461660977152643</v>
      </c>
    </row>
    <row r="762" spans="1:8" x14ac:dyDescent="0.55000000000000004">
      <c r="A762">
        <v>759</v>
      </c>
      <c r="B762">
        <v>9.8223965552783383</v>
      </c>
      <c r="C762">
        <v>4.2079150676727295</v>
      </c>
      <c r="D762">
        <v>11.251507088985933</v>
      </c>
      <c r="E762">
        <v>9.8223965552783383</v>
      </c>
      <c r="F762">
        <v>4.2079150676727295</v>
      </c>
      <c r="G762">
        <v>11.251507088985933</v>
      </c>
      <c r="H762">
        <v>25.281818711936999</v>
      </c>
    </row>
    <row r="763" spans="1:8" x14ac:dyDescent="0.55000000000000004">
      <c r="A763">
        <v>760</v>
      </c>
      <c r="B763">
        <v>10.014559897332392</v>
      </c>
      <c r="C763">
        <v>3.6934525370597839</v>
      </c>
      <c r="D763">
        <v>14.645921175761513</v>
      </c>
      <c r="E763">
        <v>10.014559897332392</v>
      </c>
      <c r="F763">
        <v>3.6934525370597839</v>
      </c>
      <c r="G763">
        <v>14.645921175761513</v>
      </c>
      <c r="H763">
        <v>28.353933610153689</v>
      </c>
    </row>
    <row r="764" spans="1:8" x14ac:dyDescent="0.55000000000000004">
      <c r="A764">
        <v>761</v>
      </c>
      <c r="B764">
        <v>10.888372495987836</v>
      </c>
      <c r="C764">
        <v>3.654558539390564</v>
      </c>
      <c r="D764">
        <v>11.974291284373685</v>
      </c>
      <c r="E764">
        <v>10.888372495987836</v>
      </c>
      <c r="F764">
        <v>3.654558539390564</v>
      </c>
      <c r="G764">
        <v>11.974291284373685</v>
      </c>
      <c r="H764">
        <v>26.517222319752086</v>
      </c>
    </row>
    <row r="765" spans="1:8" x14ac:dyDescent="0.55000000000000004">
      <c r="A765">
        <v>762</v>
      </c>
      <c r="B765">
        <v>9.0843611871648733</v>
      </c>
      <c r="C765">
        <v>2.2355192303657532</v>
      </c>
      <c r="D765">
        <v>11.506107453371868</v>
      </c>
      <c r="E765">
        <v>9.0843611871648733</v>
      </c>
      <c r="F765">
        <v>2.2355192303657532</v>
      </c>
      <c r="G765">
        <v>11.506107453371868</v>
      </c>
      <c r="H765">
        <v>22.825987870902495</v>
      </c>
    </row>
    <row r="766" spans="1:8" x14ac:dyDescent="0.55000000000000004">
      <c r="A766">
        <v>763</v>
      </c>
      <c r="B766">
        <v>9.6159912483647023</v>
      </c>
      <c r="C766">
        <v>2.4048662185668945</v>
      </c>
      <c r="D766">
        <v>10.9688320125197</v>
      </c>
      <c r="E766">
        <v>9.6159912483647023</v>
      </c>
      <c r="F766">
        <v>2.4048662185668945</v>
      </c>
      <c r="G766">
        <v>10.9688320125197</v>
      </c>
      <c r="H766">
        <v>22.989689479451297</v>
      </c>
    </row>
    <row r="767" spans="1:8" x14ac:dyDescent="0.55000000000000004">
      <c r="A767">
        <v>764</v>
      </c>
      <c r="B767">
        <v>10.222757470583874</v>
      </c>
      <c r="C767">
        <v>2.6772851347923279</v>
      </c>
      <c r="D767">
        <v>12.628215230614995</v>
      </c>
      <c r="E767">
        <v>10.222757470583874</v>
      </c>
      <c r="F767">
        <v>2.6772851347923279</v>
      </c>
      <c r="G767">
        <v>12.628215230614995</v>
      </c>
      <c r="H767">
        <v>25.528257835991198</v>
      </c>
    </row>
    <row r="768" spans="1:8" x14ac:dyDescent="0.55000000000000004">
      <c r="A768">
        <v>765</v>
      </c>
      <c r="B768">
        <v>10.615240715992869</v>
      </c>
      <c r="C768">
        <v>4.2002092599868774</v>
      </c>
      <c r="D768">
        <v>12.858649063685572</v>
      </c>
      <c r="E768">
        <v>10.615240715992869</v>
      </c>
      <c r="F768">
        <v>4.2002092599868774</v>
      </c>
      <c r="G768">
        <v>12.858649063685572</v>
      </c>
      <c r="H768">
        <v>27.674099039665318</v>
      </c>
    </row>
    <row r="769" spans="1:8" x14ac:dyDescent="0.55000000000000004">
      <c r="A769">
        <v>766</v>
      </c>
      <c r="B769">
        <v>9.5908330602732192</v>
      </c>
      <c r="C769">
        <v>4.8064165711402893</v>
      </c>
      <c r="D769">
        <v>13.412784734113721</v>
      </c>
      <c r="E769">
        <v>9.5908330602732192</v>
      </c>
      <c r="F769">
        <v>4.8064165711402893</v>
      </c>
      <c r="G769">
        <v>13.412784734113721</v>
      </c>
      <c r="H769">
        <v>27.81003436552723</v>
      </c>
    </row>
    <row r="770" spans="1:8" x14ac:dyDescent="0.55000000000000004">
      <c r="A770">
        <v>767</v>
      </c>
      <c r="B770">
        <v>9.1203293211011989</v>
      </c>
      <c r="C770">
        <v>2.0470345020294189</v>
      </c>
      <c r="D770">
        <v>11.278628808223504</v>
      </c>
      <c r="E770">
        <v>9.1203293211011989</v>
      </c>
      <c r="F770">
        <v>2.0470345020294189</v>
      </c>
      <c r="G770">
        <v>11.278628808223504</v>
      </c>
      <c r="H770">
        <v>22.445992631354123</v>
      </c>
    </row>
    <row r="771" spans="1:8" x14ac:dyDescent="0.55000000000000004">
      <c r="A771">
        <v>768</v>
      </c>
      <c r="B771">
        <v>9.8918918611280144</v>
      </c>
      <c r="C771">
        <v>4.0660364031791687</v>
      </c>
      <c r="D771">
        <v>12.035898836877681</v>
      </c>
      <c r="E771">
        <v>9.8918918611280144</v>
      </c>
      <c r="F771">
        <v>4.0660364031791687</v>
      </c>
      <c r="G771">
        <v>12.035898836877681</v>
      </c>
      <c r="H771">
        <v>25.993827101184863</v>
      </c>
    </row>
    <row r="772" spans="1:8" x14ac:dyDescent="0.55000000000000004">
      <c r="A772">
        <v>769</v>
      </c>
      <c r="B772">
        <v>11.338931743470447</v>
      </c>
      <c r="C772">
        <v>3.3169621229171753</v>
      </c>
      <c r="D772">
        <v>10.807164130852851</v>
      </c>
      <c r="E772">
        <v>11.338931743470447</v>
      </c>
      <c r="F772">
        <v>3.3169621229171753</v>
      </c>
      <c r="G772">
        <v>10.807164130852851</v>
      </c>
      <c r="H772">
        <v>25.463057997240472</v>
      </c>
    </row>
    <row r="773" spans="1:8" x14ac:dyDescent="0.55000000000000004">
      <c r="A773">
        <v>770</v>
      </c>
      <c r="B773">
        <v>8.4688957415804218</v>
      </c>
      <c r="C773">
        <v>2.3520873188972473</v>
      </c>
      <c r="D773">
        <v>11.258501705163976</v>
      </c>
      <c r="E773">
        <v>8.4688957415804218</v>
      </c>
      <c r="F773">
        <v>2.3520873188972473</v>
      </c>
      <c r="G773">
        <v>11.258501705163976</v>
      </c>
      <c r="H773">
        <v>22.079484765641645</v>
      </c>
    </row>
    <row r="774" spans="1:8" x14ac:dyDescent="0.55000000000000004">
      <c r="A774">
        <v>771</v>
      </c>
      <c r="B774">
        <v>10.127073142518906</v>
      </c>
      <c r="C774">
        <v>3.7179770469665527</v>
      </c>
      <c r="D774">
        <v>14.104155425948058</v>
      </c>
      <c r="E774">
        <v>10.127073142518906</v>
      </c>
      <c r="F774">
        <v>3.7179770469665527</v>
      </c>
      <c r="G774">
        <v>14.104155425948058</v>
      </c>
      <c r="H774">
        <v>27.949205615433517</v>
      </c>
    </row>
    <row r="775" spans="1:8" x14ac:dyDescent="0.55000000000000004">
      <c r="A775">
        <v>772</v>
      </c>
      <c r="B775">
        <v>10.3010245339898</v>
      </c>
      <c r="C775">
        <v>4.2911638617515564</v>
      </c>
      <c r="D775">
        <v>14.528938271771031</v>
      </c>
      <c r="E775">
        <v>10.3010245339898</v>
      </c>
      <c r="F775">
        <v>4.2911638617515564</v>
      </c>
      <c r="G775">
        <v>14.528938271771031</v>
      </c>
      <c r="H775">
        <v>29.121126667512385</v>
      </c>
    </row>
    <row r="776" spans="1:8" x14ac:dyDescent="0.55000000000000004">
      <c r="A776">
        <v>773</v>
      </c>
      <c r="B776">
        <v>10.670991794789387</v>
      </c>
      <c r="C776">
        <v>2.2929641008377075</v>
      </c>
      <c r="D776">
        <v>11.310290474973801</v>
      </c>
      <c r="E776">
        <v>10.670991794789387</v>
      </c>
      <c r="F776">
        <v>2.2929641008377075</v>
      </c>
      <c r="G776">
        <v>11.310290474973801</v>
      </c>
      <c r="H776">
        <v>24.274246370600896</v>
      </c>
    </row>
    <row r="777" spans="1:8" x14ac:dyDescent="0.55000000000000004">
      <c r="A777">
        <v>774</v>
      </c>
      <c r="B777">
        <v>11.149796517963347</v>
      </c>
      <c r="C777">
        <v>3.7800632119178772</v>
      </c>
      <c r="D777">
        <v>14.093981015941113</v>
      </c>
      <c r="E777">
        <v>11.149796517963347</v>
      </c>
      <c r="F777">
        <v>3.7800632119178772</v>
      </c>
      <c r="G777">
        <v>14.093981015941113</v>
      </c>
      <c r="H777">
        <v>29.023840745822337</v>
      </c>
    </row>
    <row r="778" spans="1:8" x14ac:dyDescent="0.55000000000000004">
      <c r="A778">
        <v>775</v>
      </c>
      <c r="B778">
        <v>10.487258843017507</v>
      </c>
      <c r="C778">
        <v>3.3518369197845459</v>
      </c>
      <c r="D778">
        <v>12.374596524592846</v>
      </c>
      <c r="E778">
        <v>10.487258843017507</v>
      </c>
      <c r="F778">
        <v>3.3518369197845459</v>
      </c>
      <c r="G778">
        <v>12.374596524592846</v>
      </c>
      <c r="H778">
        <v>26.213692287394899</v>
      </c>
    </row>
    <row r="779" spans="1:8" x14ac:dyDescent="0.55000000000000004">
      <c r="A779">
        <v>776</v>
      </c>
      <c r="B779">
        <v>8.294408810364839</v>
      </c>
      <c r="C779">
        <v>2.318304717540741</v>
      </c>
      <c r="D779">
        <v>10.389927049807721</v>
      </c>
      <c r="E779">
        <v>8.294408810364839</v>
      </c>
      <c r="F779">
        <v>2.318304717540741</v>
      </c>
      <c r="G779">
        <v>10.389927049807721</v>
      </c>
      <c r="H779">
        <v>21.002640577713301</v>
      </c>
    </row>
    <row r="780" spans="1:8" x14ac:dyDescent="0.55000000000000004">
      <c r="A780">
        <v>777</v>
      </c>
      <c r="B780">
        <v>8.5283478342998507</v>
      </c>
      <c r="C780">
        <v>2.9935106039047241</v>
      </c>
      <c r="D780">
        <v>11.690631609778608</v>
      </c>
      <c r="E780">
        <v>8.5283478342998507</v>
      </c>
      <c r="F780">
        <v>2.9935106039047241</v>
      </c>
      <c r="G780">
        <v>11.690631609778608</v>
      </c>
      <c r="H780">
        <v>23.212490047983181</v>
      </c>
    </row>
    <row r="781" spans="1:8" x14ac:dyDescent="0.55000000000000004">
      <c r="A781">
        <v>778</v>
      </c>
      <c r="B781">
        <v>11.227739830802324</v>
      </c>
      <c r="C781">
        <v>2.414868175983429</v>
      </c>
      <c r="D781">
        <v>12.753716518288631</v>
      </c>
      <c r="E781">
        <v>11.227739830802324</v>
      </c>
      <c r="F781">
        <v>2.414868175983429</v>
      </c>
      <c r="G781">
        <v>12.753716518288631</v>
      </c>
      <c r="H781">
        <v>26.396324525074384</v>
      </c>
    </row>
    <row r="782" spans="1:8" x14ac:dyDescent="0.55000000000000004">
      <c r="A782">
        <v>779</v>
      </c>
      <c r="B782">
        <v>8.7781187167575254</v>
      </c>
      <c r="C782">
        <v>3.6239681243896484</v>
      </c>
      <c r="D782">
        <v>11.714700436523314</v>
      </c>
      <c r="E782">
        <v>8.7781187167575254</v>
      </c>
      <c r="F782">
        <v>3.6239681243896484</v>
      </c>
      <c r="G782">
        <v>11.714700436523314</v>
      </c>
      <c r="H782">
        <v>24.11678727767049</v>
      </c>
    </row>
    <row r="783" spans="1:8" x14ac:dyDescent="0.55000000000000004">
      <c r="A783">
        <v>780</v>
      </c>
      <c r="B783">
        <v>10.579081984415447</v>
      </c>
      <c r="C783">
        <v>4.1004008650779724</v>
      </c>
      <c r="D783">
        <v>12.013350689273555</v>
      </c>
      <c r="E783">
        <v>10.579081984415447</v>
      </c>
      <c r="F783">
        <v>4.1004008650779724</v>
      </c>
      <c r="G783">
        <v>12.013350689273555</v>
      </c>
      <c r="H783">
        <v>26.692833538766976</v>
      </c>
    </row>
    <row r="784" spans="1:8" x14ac:dyDescent="0.55000000000000004">
      <c r="A784">
        <v>781</v>
      </c>
      <c r="B784">
        <v>9.6258479191830926</v>
      </c>
      <c r="C784">
        <v>4.6266704797744751</v>
      </c>
      <c r="D784">
        <v>12.680698306687834</v>
      </c>
      <c r="E784">
        <v>9.6258479191830926</v>
      </c>
      <c r="F784">
        <v>4.6266704797744751</v>
      </c>
      <c r="G784">
        <v>12.680698306687834</v>
      </c>
      <c r="H784">
        <v>26.9332167056454</v>
      </c>
    </row>
    <row r="785" spans="1:8" x14ac:dyDescent="0.55000000000000004">
      <c r="A785">
        <v>782</v>
      </c>
      <c r="B785">
        <v>9.9417010738150129</v>
      </c>
      <c r="C785">
        <v>3.3261433243751526</v>
      </c>
      <c r="D785">
        <v>13.323420361324713</v>
      </c>
      <c r="E785">
        <v>9.9417010738150129</v>
      </c>
      <c r="F785">
        <v>3.3261433243751526</v>
      </c>
      <c r="G785">
        <v>13.323420361324713</v>
      </c>
      <c r="H785">
        <v>26.591264759514878</v>
      </c>
    </row>
    <row r="786" spans="1:8" x14ac:dyDescent="0.55000000000000004">
      <c r="A786">
        <v>783</v>
      </c>
      <c r="B786">
        <v>9.8809300181414379</v>
      </c>
      <c r="C786">
        <v>2.0915606021881104</v>
      </c>
      <c r="D786">
        <v>13.229528866204657</v>
      </c>
      <c r="E786">
        <v>9.8809300181414379</v>
      </c>
      <c r="F786">
        <v>2.0915606021881104</v>
      </c>
      <c r="G786">
        <v>13.229528866204657</v>
      </c>
      <c r="H786">
        <v>25.202019486534205</v>
      </c>
    </row>
    <row r="787" spans="1:8" x14ac:dyDescent="0.55000000000000004">
      <c r="A787">
        <v>784</v>
      </c>
      <c r="B787">
        <v>9.8401596280236934</v>
      </c>
      <c r="C787">
        <v>3.7808238863945007</v>
      </c>
      <c r="D787">
        <v>12.886290447322061</v>
      </c>
      <c r="E787">
        <v>9.8401596280236934</v>
      </c>
      <c r="F787">
        <v>3.7808238863945007</v>
      </c>
      <c r="G787">
        <v>12.886290447322061</v>
      </c>
      <c r="H787">
        <v>26.507273961740253</v>
      </c>
    </row>
    <row r="788" spans="1:8" x14ac:dyDescent="0.55000000000000004">
      <c r="A788">
        <v>785</v>
      </c>
      <c r="B788">
        <v>9.2301159887606534</v>
      </c>
      <c r="C788">
        <v>4.2589110136032104</v>
      </c>
      <c r="D788">
        <v>10.659531788919532</v>
      </c>
      <c r="E788">
        <v>9.2301159887606534</v>
      </c>
      <c r="F788">
        <v>4.2589110136032104</v>
      </c>
      <c r="G788">
        <v>10.659531788919532</v>
      </c>
      <c r="H788">
        <v>24.148558791283396</v>
      </c>
    </row>
    <row r="789" spans="1:8" x14ac:dyDescent="0.55000000000000004">
      <c r="A789">
        <v>786</v>
      </c>
      <c r="B789">
        <v>9.0811446264874629</v>
      </c>
      <c r="C789">
        <v>3.4067719578742981</v>
      </c>
      <c r="D789">
        <v>12.171531866667495</v>
      </c>
      <c r="E789">
        <v>9.0811446264874629</v>
      </c>
      <c r="F789">
        <v>3.4067719578742981</v>
      </c>
      <c r="G789">
        <v>12.171531866667495</v>
      </c>
      <c r="H789">
        <v>24.659448451029256</v>
      </c>
    </row>
    <row r="790" spans="1:8" x14ac:dyDescent="0.55000000000000004">
      <c r="A790">
        <v>787</v>
      </c>
      <c r="B790">
        <v>10.176406620888852</v>
      </c>
      <c r="C790">
        <v>4.0842652320861816</v>
      </c>
      <c r="D790">
        <v>10.922826050097914</v>
      </c>
      <c r="E790">
        <v>10.176406620888852</v>
      </c>
      <c r="F790">
        <v>4.0842652320861816</v>
      </c>
      <c r="G790">
        <v>10.922826050097914</v>
      </c>
      <c r="H790">
        <v>25.183497903072947</v>
      </c>
    </row>
    <row r="791" spans="1:8" x14ac:dyDescent="0.55000000000000004">
      <c r="A791">
        <v>788</v>
      </c>
      <c r="B791">
        <v>11.027582435734681</v>
      </c>
      <c r="C791">
        <v>4.6465000510215759</v>
      </c>
      <c r="D791">
        <v>13.141041233265579</v>
      </c>
      <c r="E791">
        <v>11.027582435734681</v>
      </c>
      <c r="F791">
        <v>4.6465000510215759</v>
      </c>
      <c r="G791">
        <v>13.141041233265579</v>
      </c>
      <c r="H791">
        <v>28.815123720021838</v>
      </c>
    </row>
    <row r="792" spans="1:8" x14ac:dyDescent="0.55000000000000004">
      <c r="A792">
        <v>789</v>
      </c>
      <c r="B792">
        <v>9.0346428658028692</v>
      </c>
      <c r="C792">
        <v>4.0807229280471802</v>
      </c>
      <c r="D792">
        <v>12.979835609501414</v>
      </c>
      <c r="E792">
        <v>9.0346428658028692</v>
      </c>
      <c r="F792">
        <v>4.0807229280471802</v>
      </c>
      <c r="G792">
        <v>12.979835609501414</v>
      </c>
      <c r="H792">
        <v>26.095201403351464</v>
      </c>
    </row>
    <row r="793" spans="1:8" x14ac:dyDescent="0.55000000000000004">
      <c r="A793">
        <v>790</v>
      </c>
      <c r="B793">
        <v>11.229022099235671</v>
      </c>
      <c r="C793">
        <v>2.2010045647621155</v>
      </c>
      <c r="D793">
        <v>10.849845064291593</v>
      </c>
      <c r="E793">
        <v>11.229022099235671</v>
      </c>
      <c r="F793">
        <v>2.2010045647621155</v>
      </c>
      <c r="G793">
        <v>10.849845064291593</v>
      </c>
      <c r="H793">
        <v>24.279871728289379</v>
      </c>
    </row>
    <row r="794" spans="1:8" x14ac:dyDescent="0.55000000000000004">
      <c r="A794">
        <v>791</v>
      </c>
      <c r="B794">
        <v>11.327617934885044</v>
      </c>
      <c r="C794">
        <v>3.3448188304901123</v>
      </c>
      <c r="D794">
        <v>11.357082187221481</v>
      </c>
      <c r="E794">
        <v>11.327617934885044</v>
      </c>
      <c r="F794">
        <v>3.3448188304901123</v>
      </c>
      <c r="G794">
        <v>11.357082187221481</v>
      </c>
      <c r="H794">
        <v>26.029518952596639</v>
      </c>
    </row>
    <row r="795" spans="1:8" x14ac:dyDescent="0.55000000000000004">
      <c r="A795">
        <v>792</v>
      </c>
      <c r="B795">
        <v>10.696357293660734</v>
      </c>
      <c r="C795">
        <v>4.831035315990448</v>
      </c>
      <c r="D795">
        <v>12.917742514242804</v>
      </c>
      <c r="E795">
        <v>10.696357293660734</v>
      </c>
      <c r="F795">
        <v>4.831035315990448</v>
      </c>
      <c r="G795">
        <v>12.917742514242804</v>
      </c>
      <c r="H795">
        <v>28.445135123893984</v>
      </c>
    </row>
    <row r="796" spans="1:8" x14ac:dyDescent="0.55000000000000004">
      <c r="A796">
        <v>793</v>
      </c>
      <c r="B796">
        <v>10.128194120622654</v>
      </c>
      <c r="C796">
        <v>4.4222453832626343</v>
      </c>
      <c r="D796">
        <v>12.181755052379359</v>
      </c>
      <c r="E796">
        <v>10.128194120622654</v>
      </c>
      <c r="F796">
        <v>4.4222453832626343</v>
      </c>
      <c r="G796">
        <v>12.181755052379359</v>
      </c>
      <c r="H796">
        <v>26.732194556264645</v>
      </c>
    </row>
    <row r="797" spans="1:8" x14ac:dyDescent="0.55000000000000004">
      <c r="A797">
        <v>794</v>
      </c>
      <c r="B797">
        <v>9.4012220020149204</v>
      </c>
      <c r="C797">
        <v>4.4825838208198547</v>
      </c>
      <c r="D797">
        <v>12.247020471542989</v>
      </c>
      <c r="E797">
        <v>9.4012220020149204</v>
      </c>
      <c r="F797">
        <v>4.4825838208198547</v>
      </c>
      <c r="G797">
        <v>12.247020471542989</v>
      </c>
      <c r="H797">
        <v>26.130826294377762</v>
      </c>
    </row>
    <row r="798" spans="1:8" x14ac:dyDescent="0.55000000000000004">
      <c r="A798">
        <v>795</v>
      </c>
      <c r="B798">
        <v>8.758266337437103</v>
      </c>
      <c r="C798">
        <v>2.4196691513061523</v>
      </c>
      <c r="D798">
        <v>13.201150651988618</v>
      </c>
      <c r="E798">
        <v>8.758266337437103</v>
      </c>
      <c r="F798">
        <v>2.4196691513061523</v>
      </c>
      <c r="G798">
        <v>13.201150651988618</v>
      </c>
      <c r="H798">
        <v>24.379086140731872</v>
      </c>
    </row>
    <row r="799" spans="1:8" x14ac:dyDescent="0.55000000000000004">
      <c r="A799">
        <v>796</v>
      </c>
      <c r="B799">
        <v>10.433032854099245</v>
      </c>
      <c r="C799">
        <v>4.7678403258323669</v>
      </c>
      <c r="D799">
        <v>10.636225971899879</v>
      </c>
      <c r="E799">
        <v>10.433032854099245</v>
      </c>
      <c r="F799">
        <v>4.7678403258323669</v>
      </c>
      <c r="G799">
        <v>10.636225971899879</v>
      </c>
      <c r="H799">
        <v>25.837099151831492</v>
      </c>
    </row>
    <row r="800" spans="1:8" x14ac:dyDescent="0.55000000000000004">
      <c r="A800">
        <v>797</v>
      </c>
      <c r="B800">
        <v>10.931605487251028</v>
      </c>
      <c r="C800">
        <v>3.5188909769058228</v>
      </c>
      <c r="D800">
        <v>14.103691467376928</v>
      </c>
      <c r="E800">
        <v>10.931605487251028</v>
      </c>
      <c r="F800">
        <v>3.5188909769058228</v>
      </c>
      <c r="G800">
        <v>14.103691467376928</v>
      </c>
      <c r="H800">
        <v>28.554187931533779</v>
      </c>
    </row>
    <row r="801" spans="1:8" x14ac:dyDescent="0.55000000000000004">
      <c r="A801">
        <v>798</v>
      </c>
      <c r="B801">
        <v>9.8434567970277733</v>
      </c>
      <c r="C801">
        <v>2.5828695893287659</v>
      </c>
      <c r="D801">
        <v>11.776059535618122</v>
      </c>
      <c r="E801">
        <v>9.8434567970277733</v>
      </c>
      <c r="F801">
        <v>2.5828695893287659</v>
      </c>
      <c r="G801">
        <v>11.776059535618122</v>
      </c>
      <c r="H801">
        <v>24.20238592197466</v>
      </c>
    </row>
    <row r="802" spans="1:8" x14ac:dyDescent="0.55000000000000004">
      <c r="A802">
        <v>799</v>
      </c>
      <c r="B802">
        <v>11.101626046313516</v>
      </c>
      <c r="C802">
        <v>3.7995998859405518</v>
      </c>
      <c r="D802">
        <v>11.595515488760091</v>
      </c>
      <c r="E802">
        <v>11.101626046313516</v>
      </c>
      <c r="F802">
        <v>3.7995998859405518</v>
      </c>
      <c r="G802">
        <v>11.595515488760091</v>
      </c>
      <c r="H802">
        <v>26.496741421014157</v>
      </c>
    </row>
    <row r="803" spans="1:8" x14ac:dyDescent="0.55000000000000004">
      <c r="A803">
        <v>800</v>
      </c>
      <c r="B803">
        <v>10.204216450382766</v>
      </c>
      <c r="C803">
        <v>3.3932554125785828</v>
      </c>
      <c r="D803">
        <v>11.027441099942926</v>
      </c>
      <c r="E803">
        <v>10.204216450382766</v>
      </c>
      <c r="F803">
        <v>3.3932554125785828</v>
      </c>
      <c r="G803">
        <v>11.027441099942926</v>
      </c>
      <c r="H803">
        <v>24.624912962904276</v>
      </c>
    </row>
    <row r="804" spans="1:8" x14ac:dyDescent="0.55000000000000004">
      <c r="A804">
        <v>801</v>
      </c>
      <c r="B804">
        <v>7.9042977597416453</v>
      </c>
      <c r="C804">
        <v>4.0269707441329956</v>
      </c>
      <c r="D804">
        <v>11.843304564123319</v>
      </c>
      <c r="E804">
        <v>7.9042977597416453</v>
      </c>
      <c r="F804">
        <v>4.0269707441329956</v>
      </c>
      <c r="G804">
        <v>11.843304564123319</v>
      </c>
      <c r="H804">
        <v>23.774573067997959</v>
      </c>
    </row>
    <row r="805" spans="1:8" x14ac:dyDescent="0.55000000000000004">
      <c r="A805">
        <v>802</v>
      </c>
      <c r="B805">
        <v>11.037686940689802</v>
      </c>
      <c r="C805">
        <v>4.4689639210700989</v>
      </c>
      <c r="D805">
        <v>11.944870864190023</v>
      </c>
      <c r="E805">
        <v>11.037686940689802</v>
      </c>
      <c r="F805">
        <v>4.4689639210700989</v>
      </c>
      <c r="G805">
        <v>11.944870864190023</v>
      </c>
      <c r="H805">
        <v>27.451521725949924</v>
      </c>
    </row>
    <row r="806" spans="1:8" x14ac:dyDescent="0.55000000000000004">
      <c r="A806">
        <v>803</v>
      </c>
      <c r="B806">
        <v>8.273897693981402</v>
      </c>
      <c r="C806">
        <v>4.8103556632995605</v>
      </c>
      <c r="D806">
        <v>13.610824290062633</v>
      </c>
      <c r="E806">
        <v>8.273897693981402</v>
      </c>
      <c r="F806">
        <v>4.8103556632995605</v>
      </c>
      <c r="G806">
        <v>13.610824290062633</v>
      </c>
      <c r="H806">
        <v>26.695077647343595</v>
      </c>
    </row>
    <row r="807" spans="1:8" x14ac:dyDescent="0.55000000000000004">
      <c r="A807">
        <v>804</v>
      </c>
      <c r="B807">
        <v>8.2744283077313856</v>
      </c>
      <c r="C807">
        <v>4.0996755957603455</v>
      </c>
      <c r="D807">
        <v>13.096462459835186</v>
      </c>
      <c r="E807">
        <v>8.2744283077313856</v>
      </c>
      <c r="F807">
        <v>4.0996755957603455</v>
      </c>
      <c r="G807">
        <v>13.096462459835186</v>
      </c>
      <c r="H807">
        <v>25.470566363326917</v>
      </c>
    </row>
    <row r="808" spans="1:8" x14ac:dyDescent="0.55000000000000004">
      <c r="A808">
        <v>805</v>
      </c>
      <c r="B808">
        <v>9.9426706989025497</v>
      </c>
      <c r="C808">
        <v>2.2893191576004028</v>
      </c>
      <c r="D808">
        <v>11.423692610457307</v>
      </c>
      <c r="E808">
        <v>9.9426706989025497</v>
      </c>
      <c r="F808">
        <v>2.2893191576004028</v>
      </c>
      <c r="G808">
        <v>11.423692610457307</v>
      </c>
      <c r="H808">
        <v>23.655682466960258</v>
      </c>
    </row>
    <row r="809" spans="1:8" x14ac:dyDescent="0.55000000000000004">
      <c r="A809">
        <v>806</v>
      </c>
      <c r="B809">
        <v>10.046791222807792</v>
      </c>
      <c r="C809">
        <v>2.5718360543251038</v>
      </c>
      <c r="D809">
        <v>12.510072973929997</v>
      </c>
      <c r="E809">
        <v>10.046791222807792</v>
      </c>
      <c r="F809">
        <v>2.5718360543251038</v>
      </c>
      <c r="G809">
        <v>12.510072973929997</v>
      </c>
      <c r="H809">
        <v>25.128700251062895</v>
      </c>
    </row>
    <row r="810" spans="1:8" x14ac:dyDescent="0.55000000000000004">
      <c r="A810">
        <v>807</v>
      </c>
      <c r="B810">
        <v>8.0529903672316312</v>
      </c>
      <c r="C810">
        <v>2.2532670497894287</v>
      </c>
      <c r="D810">
        <v>11.739313226467127</v>
      </c>
      <c r="E810">
        <v>8.0529903672316312</v>
      </c>
      <c r="F810">
        <v>2.2532670497894287</v>
      </c>
      <c r="G810">
        <v>11.739313226467127</v>
      </c>
      <c r="H810">
        <v>22.045570643488187</v>
      </c>
    </row>
    <row r="811" spans="1:8" x14ac:dyDescent="0.55000000000000004">
      <c r="A811">
        <v>808</v>
      </c>
      <c r="B811">
        <v>9.8422911686148922</v>
      </c>
      <c r="C811">
        <v>3.438675582408905</v>
      </c>
      <c r="D811">
        <v>11.667598424177188</v>
      </c>
      <c r="E811">
        <v>9.8422911686148922</v>
      </c>
      <c r="F811">
        <v>3.438675582408905</v>
      </c>
      <c r="G811">
        <v>11.667598424177188</v>
      </c>
      <c r="H811">
        <v>24.948565175200983</v>
      </c>
    </row>
    <row r="812" spans="1:8" x14ac:dyDescent="0.55000000000000004">
      <c r="A812">
        <v>809</v>
      </c>
      <c r="B812">
        <v>11.011068874906902</v>
      </c>
      <c r="C812">
        <v>2.3509191274642944</v>
      </c>
      <c r="D812">
        <v>12.445312744980569</v>
      </c>
      <c r="E812">
        <v>11.011068874906902</v>
      </c>
      <c r="F812">
        <v>2.3509191274642944</v>
      </c>
      <c r="G812">
        <v>12.445312744980569</v>
      </c>
      <c r="H812">
        <v>25.807300747351768</v>
      </c>
    </row>
    <row r="813" spans="1:8" x14ac:dyDescent="0.55000000000000004">
      <c r="A813">
        <v>810</v>
      </c>
      <c r="B813">
        <v>9.7658784587287233</v>
      </c>
      <c r="C813">
        <v>3.3644474148750305</v>
      </c>
      <c r="D813">
        <v>14.139912986943363</v>
      </c>
      <c r="E813">
        <v>9.7658784587287233</v>
      </c>
      <c r="F813">
        <v>3.3644474148750305</v>
      </c>
      <c r="G813">
        <v>14.139912986943363</v>
      </c>
      <c r="H813">
        <v>27.270238860547117</v>
      </c>
    </row>
    <row r="814" spans="1:8" x14ac:dyDescent="0.55000000000000004">
      <c r="A814">
        <v>811</v>
      </c>
      <c r="B814">
        <v>9.5750956789023896</v>
      </c>
      <c r="C814">
        <v>3.7958755493164063</v>
      </c>
      <c r="D814">
        <v>11.849259920552353</v>
      </c>
      <c r="E814">
        <v>9.5750956789023896</v>
      </c>
      <c r="F814">
        <v>3.7958755493164063</v>
      </c>
      <c r="G814">
        <v>11.849259920552353</v>
      </c>
      <c r="H814">
        <v>25.220231148771148</v>
      </c>
    </row>
    <row r="815" spans="1:8" x14ac:dyDescent="0.55000000000000004">
      <c r="A815">
        <v>812</v>
      </c>
      <c r="B815">
        <v>10.100234811747868</v>
      </c>
      <c r="C815">
        <v>4.5741347670555115</v>
      </c>
      <c r="D815">
        <v>12.379344789263827</v>
      </c>
      <c r="E815">
        <v>10.100234811747868</v>
      </c>
      <c r="F815">
        <v>4.5741347670555115</v>
      </c>
      <c r="G815">
        <v>12.379344789263827</v>
      </c>
      <c r="H815">
        <v>27.053714368067205</v>
      </c>
    </row>
    <row r="816" spans="1:8" x14ac:dyDescent="0.55000000000000004">
      <c r="A816">
        <v>813</v>
      </c>
      <c r="B816">
        <v>9.4565164003420215</v>
      </c>
      <c r="C816">
        <v>3.7245270013809204</v>
      </c>
      <c r="D816">
        <v>11.711898847165251</v>
      </c>
      <c r="E816">
        <v>9.4565164003420215</v>
      </c>
      <c r="F816">
        <v>3.7245270013809204</v>
      </c>
      <c r="G816">
        <v>11.711898847165251</v>
      </c>
      <c r="H816">
        <v>24.892942248888193</v>
      </c>
    </row>
    <row r="817" spans="1:8" x14ac:dyDescent="0.55000000000000004">
      <c r="A817">
        <v>814</v>
      </c>
      <c r="B817">
        <v>8.7791364559708001</v>
      </c>
      <c r="C817">
        <v>3.6898766160011292</v>
      </c>
      <c r="D817">
        <v>13.678175668808249</v>
      </c>
      <c r="E817">
        <v>8.7791364559708001</v>
      </c>
      <c r="F817">
        <v>3.6898766160011292</v>
      </c>
      <c r="G817">
        <v>13.678175668808249</v>
      </c>
      <c r="H817">
        <v>26.14718874078018</v>
      </c>
    </row>
    <row r="818" spans="1:8" x14ac:dyDescent="0.55000000000000004">
      <c r="A818">
        <v>815</v>
      </c>
      <c r="B818">
        <v>9.9607519946098062</v>
      </c>
      <c r="C818">
        <v>4.1125586032867432</v>
      </c>
      <c r="D818">
        <v>13.738735292480747</v>
      </c>
      <c r="E818">
        <v>9.9607519946098062</v>
      </c>
      <c r="F818">
        <v>4.1125586032867432</v>
      </c>
      <c r="G818">
        <v>13.738735292480747</v>
      </c>
      <c r="H818">
        <v>27.812045890377298</v>
      </c>
    </row>
    <row r="819" spans="1:8" x14ac:dyDescent="0.55000000000000004">
      <c r="A819">
        <v>816</v>
      </c>
      <c r="B819">
        <v>9.4988618225695465</v>
      </c>
      <c r="C819">
        <v>4.4853622317314148</v>
      </c>
      <c r="D819">
        <v>12.124421488875065</v>
      </c>
      <c r="E819">
        <v>9.4988618225695465</v>
      </c>
      <c r="F819">
        <v>4.4853622317314148</v>
      </c>
      <c r="G819">
        <v>12.124421488875065</v>
      </c>
      <c r="H819">
        <v>26.108645543176024</v>
      </c>
    </row>
    <row r="820" spans="1:8" x14ac:dyDescent="0.55000000000000004">
      <c r="A820">
        <v>817</v>
      </c>
      <c r="B820">
        <v>7.8717256955711967</v>
      </c>
      <c r="C820">
        <v>4.9062975645065308</v>
      </c>
      <c r="D820">
        <v>12.878969604426715</v>
      </c>
      <c r="E820">
        <v>7.8717256955711967</v>
      </c>
      <c r="F820">
        <v>4.9062975645065308</v>
      </c>
      <c r="G820">
        <v>12.878969604426715</v>
      </c>
      <c r="H820">
        <v>25.656992864504442</v>
      </c>
    </row>
    <row r="821" spans="1:8" x14ac:dyDescent="0.55000000000000004">
      <c r="A821">
        <v>818</v>
      </c>
      <c r="B821">
        <v>10.757784460480821</v>
      </c>
      <c r="C821">
        <v>3.8394444584846497</v>
      </c>
      <c r="D821">
        <v>13.058304622082019</v>
      </c>
      <c r="E821">
        <v>10.757784460480821</v>
      </c>
      <c r="F821">
        <v>3.8394444584846497</v>
      </c>
      <c r="G821">
        <v>13.058304622082019</v>
      </c>
      <c r="H821">
        <v>27.65553354104749</v>
      </c>
    </row>
    <row r="822" spans="1:8" x14ac:dyDescent="0.55000000000000004">
      <c r="A822">
        <v>819</v>
      </c>
      <c r="B822">
        <v>8.6475003461448399</v>
      </c>
      <c r="C822">
        <v>3.7751545906066895</v>
      </c>
      <c r="D822">
        <v>11.440128618231672</v>
      </c>
      <c r="E822">
        <v>8.6475003461448399</v>
      </c>
      <c r="F822">
        <v>3.7751545906066895</v>
      </c>
      <c r="G822">
        <v>11.440128618231672</v>
      </c>
      <c r="H822">
        <v>23.862783554983203</v>
      </c>
    </row>
    <row r="823" spans="1:8" x14ac:dyDescent="0.55000000000000004">
      <c r="A823">
        <v>820</v>
      </c>
      <c r="B823">
        <v>11.488018822857597</v>
      </c>
      <c r="C823">
        <v>2.920221745967865</v>
      </c>
      <c r="D823">
        <v>12.515186060688666</v>
      </c>
      <c r="E823">
        <v>11.488018822857597</v>
      </c>
      <c r="F823">
        <v>2.920221745967865</v>
      </c>
      <c r="G823">
        <v>12.515186060688666</v>
      </c>
      <c r="H823">
        <v>26.923426629514129</v>
      </c>
    </row>
    <row r="824" spans="1:8" x14ac:dyDescent="0.55000000000000004">
      <c r="A824">
        <v>821</v>
      </c>
      <c r="B824">
        <v>11.70718587825249</v>
      </c>
      <c r="C824">
        <v>4.6414090394973755</v>
      </c>
      <c r="D824">
        <v>12.011428996651492</v>
      </c>
      <c r="E824">
        <v>11.70718587825249</v>
      </c>
      <c r="F824">
        <v>4.6414090394973755</v>
      </c>
      <c r="G824">
        <v>12.011428996651492</v>
      </c>
      <c r="H824">
        <v>28.360023914401356</v>
      </c>
    </row>
    <row r="825" spans="1:8" x14ac:dyDescent="0.55000000000000004">
      <c r="A825">
        <v>822</v>
      </c>
      <c r="B825">
        <v>9.3907541565356709</v>
      </c>
      <c r="C825">
        <v>3.380838930606842</v>
      </c>
      <c r="D825">
        <v>12.730503627500136</v>
      </c>
      <c r="E825">
        <v>9.3907541565356709</v>
      </c>
      <c r="F825">
        <v>3.380838930606842</v>
      </c>
      <c r="G825">
        <v>12.730503627500136</v>
      </c>
      <c r="H825">
        <v>25.502096714642647</v>
      </c>
    </row>
    <row r="826" spans="1:8" x14ac:dyDescent="0.55000000000000004">
      <c r="A826">
        <v>823</v>
      </c>
      <c r="B826">
        <v>9.2422929858663974</v>
      </c>
      <c r="C826">
        <v>4.8935878276824951</v>
      </c>
      <c r="D826">
        <v>11.898391566093686</v>
      </c>
      <c r="E826">
        <v>9.2422929858663974</v>
      </c>
      <c r="F826">
        <v>4.8935878276824951</v>
      </c>
      <c r="G826">
        <v>11.898391566093686</v>
      </c>
      <c r="H826">
        <v>26.03427237964258</v>
      </c>
    </row>
    <row r="827" spans="1:8" x14ac:dyDescent="0.55000000000000004">
      <c r="A827">
        <v>824</v>
      </c>
      <c r="B827">
        <v>8.8657644302778351</v>
      </c>
      <c r="C827">
        <v>3.0982567667961121</v>
      </c>
      <c r="D827">
        <v>11.287818539667072</v>
      </c>
      <c r="E827">
        <v>8.8657644302778351</v>
      </c>
      <c r="F827">
        <v>3.0982567667961121</v>
      </c>
      <c r="G827">
        <v>11.287818539667072</v>
      </c>
      <c r="H827">
        <v>23.251839736741019</v>
      </c>
    </row>
    <row r="828" spans="1:8" x14ac:dyDescent="0.55000000000000004">
      <c r="A828">
        <v>825</v>
      </c>
      <c r="B828">
        <v>10.804406914382801</v>
      </c>
      <c r="C828">
        <v>3.9396880865097046</v>
      </c>
      <c r="D828">
        <v>12.102068315412803</v>
      </c>
      <c r="E828">
        <v>10.804406914382801</v>
      </c>
      <c r="F828">
        <v>3.9396880865097046</v>
      </c>
      <c r="G828">
        <v>12.102068315412803</v>
      </c>
      <c r="H828">
        <v>26.846163316305308</v>
      </c>
    </row>
    <row r="829" spans="1:8" x14ac:dyDescent="0.55000000000000004">
      <c r="A829">
        <v>826</v>
      </c>
      <c r="B829">
        <v>10.286626804135112</v>
      </c>
      <c r="C829">
        <v>3.7362402081489563</v>
      </c>
      <c r="D829">
        <v>12.294206514165349</v>
      </c>
      <c r="E829">
        <v>10.286626804135112</v>
      </c>
      <c r="F829">
        <v>3.7362402081489563</v>
      </c>
      <c r="G829">
        <v>12.294206514165349</v>
      </c>
      <c r="H829">
        <v>26.31707352644942</v>
      </c>
    </row>
    <row r="830" spans="1:8" x14ac:dyDescent="0.55000000000000004">
      <c r="A830">
        <v>827</v>
      </c>
      <c r="B830">
        <v>8.2701370338404789</v>
      </c>
      <c r="C830">
        <v>4.5064935684204102</v>
      </c>
      <c r="D830">
        <v>14.711832866149864</v>
      </c>
      <c r="E830">
        <v>8.2701370338404789</v>
      </c>
      <c r="F830">
        <v>4.5064935684204102</v>
      </c>
      <c r="G830">
        <v>14.711832866149864</v>
      </c>
      <c r="H830">
        <v>27.488463468410753</v>
      </c>
    </row>
    <row r="831" spans="1:8" x14ac:dyDescent="0.55000000000000004">
      <c r="A831">
        <v>828</v>
      </c>
      <c r="B831">
        <v>10.499968329530248</v>
      </c>
      <c r="C831">
        <v>4.163815438747406</v>
      </c>
      <c r="D831">
        <v>11.311660589004518</v>
      </c>
      <c r="E831">
        <v>10.499968329530248</v>
      </c>
      <c r="F831">
        <v>4.163815438747406</v>
      </c>
      <c r="G831">
        <v>11.311660589004518</v>
      </c>
      <c r="H831">
        <v>25.975444357282171</v>
      </c>
    </row>
    <row r="832" spans="1:8" x14ac:dyDescent="0.55000000000000004">
      <c r="A832">
        <v>829</v>
      </c>
      <c r="B832">
        <v>9.0218308083866354</v>
      </c>
      <c r="C832">
        <v>2.8412348031997681</v>
      </c>
      <c r="D832">
        <v>12.596365740284899</v>
      </c>
      <c r="E832">
        <v>9.0218308083866354</v>
      </c>
      <c r="F832">
        <v>2.8412348031997681</v>
      </c>
      <c r="G832">
        <v>12.596365740284899</v>
      </c>
      <c r="H832">
        <v>24.459431351871302</v>
      </c>
    </row>
    <row r="833" spans="1:8" x14ac:dyDescent="0.55000000000000004">
      <c r="A833">
        <v>830</v>
      </c>
      <c r="B833">
        <v>10.340535209357807</v>
      </c>
      <c r="C833">
        <v>2.5104456543922424</v>
      </c>
      <c r="D833">
        <v>11.760153335047381</v>
      </c>
      <c r="E833">
        <v>10.340535209357807</v>
      </c>
      <c r="F833">
        <v>2.5104456543922424</v>
      </c>
      <c r="G833">
        <v>11.760153335047381</v>
      </c>
      <c r="H833">
        <v>24.61113419879743</v>
      </c>
    </row>
    <row r="834" spans="1:8" x14ac:dyDescent="0.55000000000000004">
      <c r="A834">
        <v>831</v>
      </c>
      <c r="B834">
        <v>10.305951246423215</v>
      </c>
      <c r="C834">
        <v>3.7218430042266846</v>
      </c>
      <c r="D834">
        <v>11.729201875657568</v>
      </c>
      <c r="E834">
        <v>10.305951246423215</v>
      </c>
      <c r="F834">
        <v>3.7218430042266846</v>
      </c>
      <c r="G834">
        <v>11.729201875657568</v>
      </c>
      <c r="H834">
        <v>25.756996126307467</v>
      </c>
    </row>
    <row r="835" spans="1:8" x14ac:dyDescent="0.55000000000000004">
      <c r="A835">
        <v>832</v>
      </c>
      <c r="B835">
        <v>9.4353605561582228</v>
      </c>
      <c r="C835">
        <v>3.3891755938529968</v>
      </c>
      <c r="D835">
        <v>13.293629405332437</v>
      </c>
      <c r="E835">
        <v>9.4353605561582228</v>
      </c>
      <c r="F835">
        <v>3.3891755938529968</v>
      </c>
      <c r="G835">
        <v>13.293629405332437</v>
      </c>
      <c r="H835">
        <v>26.118165555343658</v>
      </c>
    </row>
    <row r="836" spans="1:8" x14ac:dyDescent="0.55000000000000004">
      <c r="A836">
        <v>833</v>
      </c>
      <c r="B836">
        <v>9.0897172280983263</v>
      </c>
      <c r="C836">
        <v>3.9320477247238159</v>
      </c>
      <c r="D836">
        <v>11.097754368859574</v>
      </c>
      <c r="E836">
        <v>9.0897172280983263</v>
      </c>
      <c r="F836">
        <v>3.9320477247238159</v>
      </c>
      <c r="G836">
        <v>11.097754368859574</v>
      </c>
      <c r="H836">
        <v>24.119519321681715</v>
      </c>
    </row>
    <row r="837" spans="1:8" x14ac:dyDescent="0.55000000000000004">
      <c r="A837">
        <v>834</v>
      </c>
      <c r="B837">
        <v>11.307968850221732</v>
      </c>
      <c r="C837">
        <v>3.5689948201179504</v>
      </c>
      <c r="D837">
        <v>12.820528594853739</v>
      </c>
      <c r="E837">
        <v>11.307968850221732</v>
      </c>
      <c r="F837">
        <v>3.5689948201179504</v>
      </c>
      <c r="G837">
        <v>12.820528594853739</v>
      </c>
      <c r="H837">
        <v>27.697492265193421</v>
      </c>
    </row>
    <row r="838" spans="1:8" x14ac:dyDescent="0.55000000000000004">
      <c r="A838">
        <v>835</v>
      </c>
      <c r="B838">
        <v>8.5877370716578234</v>
      </c>
      <c r="C838">
        <v>2.6075682640075684</v>
      </c>
      <c r="D838">
        <v>11.567346495210581</v>
      </c>
      <c r="E838">
        <v>8.5877370716578234</v>
      </c>
      <c r="F838">
        <v>2.6075682640075684</v>
      </c>
      <c r="G838">
        <v>11.567346495210581</v>
      </c>
      <c r="H838">
        <v>22.762651830875974</v>
      </c>
    </row>
    <row r="839" spans="1:8" x14ac:dyDescent="0.55000000000000004">
      <c r="A839">
        <v>836</v>
      </c>
      <c r="B839">
        <v>9.9915775466128611</v>
      </c>
      <c r="C839">
        <v>2.1276697516441345</v>
      </c>
      <c r="D839">
        <v>11.20899906673348</v>
      </c>
      <c r="E839">
        <v>9.9915775466128611</v>
      </c>
      <c r="F839">
        <v>2.1276697516441345</v>
      </c>
      <c r="G839">
        <v>11.20899906673348</v>
      </c>
      <c r="H839">
        <v>23.328246364990477</v>
      </c>
    </row>
    <row r="840" spans="1:8" x14ac:dyDescent="0.55000000000000004">
      <c r="A840">
        <v>837</v>
      </c>
      <c r="B840">
        <v>8.8803015776008767</v>
      </c>
      <c r="C840">
        <v>4.6096488237380981</v>
      </c>
      <c r="D840">
        <v>11.9802557475196</v>
      </c>
      <c r="E840">
        <v>8.8803015776008767</v>
      </c>
      <c r="F840">
        <v>4.6096488237380981</v>
      </c>
      <c r="G840">
        <v>11.9802557475196</v>
      </c>
      <c r="H840">
        <v>25.470206148858573</v>
      </c>
    </row>
    <row r="841" spans="1:8" x14ac:dyDescent="0.55000000000000004">
      <c r="A841">
        <v>838</v>
      </c>
      <c r="B841">
        <v>11.339208969930839</v>
      </c>
      <c r="C841">
        <v>3.8662944436073303</v>
      </c>
      <c r="D841">
        <v>12.878739674401674</v>
      </c>
      <c r="E841">
        <v>11.339208969930839</v>
      </c>
      <c r="F841">
        <v>3.8662944436073303</v>
      </c>
      <c r="G841">
        <v>12.878739674401674</v>
      </c>
      <c r="H841">
        <v>28.084243087939843</v>
      </c>
    </row>
    <row r="842" spans="1:8" x14ac:dyDescent="0.55000000000000004">
      <c r="A842">
        <v>839</v>
      </c>
      <c r="B842">
        <v>11.530720848199348</v>
      </c>
      <c r="C842">
        <v>4.8321874141693115</v>
      </c>
      <c r="D842">
        <v>10.852144165168244</v>
      </c>
      <c r="E842">
        <v>11.530720848199348</v>
      </c>
      <c r="F842">
        <v>4.8321874141693115</v>
      </c>
      <c r="G842">
        <v>10.852144165168244</v>
      </c>
      <c r="H842">
        <v>27.215052427536904</v>
      </c>
    </row>
    <row r="843" spans="1:8" x14ac:dyDescent="0.55000000000000004">
      <c r="A843">
        <v>840</v>
      </c>
      <c r="B843">
        <v>8.839292615240586</v>
      </c>
      <c r="C843">
        <v>3.5168101191520691</v>
      </c>
      <c r="D843">
        <v>10.856990627553605</v>
      </c>
      <c r="E843">
        <v>8.839292615240586</v>
      </c>
      <c r="F843">
        <v>3.5168101191520691</v>
      </c>
      <c r="G843">
        <v>10.856990627553605</v>
      </c>
      <c r="H843">
        <v>23.21309336194626</v>
      </c>
    </row>
    <row r="844" spans="1:8" x14ac:dyDescent="0.55000000000000004">
      <c r="A844">
        <v>841</v>
      </c>
      <c r="B844">
        <v>9.9425120666223652</v>
      </c>
      <c r="C844">
        <v>2.0987085103988647</v>
      </c>
      <c r="D844">
        <v>11.474032661891332</v>
      </c>
      <c r="E844">
        <v>9.9425120666223652</v>
      </c>
      <c r="F844">
        <v>2.0987085103988647</v>
      </c>
      <c r="G844">
        <v>11.474032661891332</v>
      </c>
      <c r="H844">
        <v>23.515253238912564</v>
      </c>
    </row>
    <row r="845" spans="1:8" x14ac:dyDescent="0.55000000000000004">
      <c r="A845">
        <v>842</v>
      </c>
      <c r="B845">
        <v>9.9120196595120902</v>
      </c>
      <c r="C845">
        <v>2.0237434506416321</v>
      </c>
      <c r="D845">
        <v>13.830995642449087</v>
      </c>
      <c r="E845">
        <v>9.9120196595120902</v>
      </c>
      <c r="F845">
        <v>2.0237434506416321</v>
      </c>
      <c r="G845">
        <v>13.830995642449087</v>
      </c>
      <c r="H845">
        <v>25.766758752602811</v>
      </c>
    </row>
    <row r="846" spans="1:8" x14ac:dyDescent="0.55000000000000004">
      <c r="A846">
        <v>843</v>
      </c>
      <c r="B846">
        <v>10.589937362552691</v>
      </c>
      <c r="C846">
        <v>2.0554294586181641</v>
      </c>
      <c r="D846">
        <v>10.436841878440401</v>
      </c>
      <c r="E846">
        <v>10.589937362552691</v>
      </c>
      <c r="F846">
        <v>2.0554294586181641</v>
      </c>
      <c r="G846">
        <v>10.436841878440401</v>
      </c>
      <c r="H846">
        <v>23.082208699611257</v>
      </c>
    </row>
    <row r="847" spans="1:8" x14ac:dyDescent="0.55000000000000004">
      <c r="A847">
        <v>844</v>
      </c>
      <c r="B847">
        <v>10.605462390099376</v>
      </c>
      <c r="C847">
        <v>4.9314135909080505</v>
      </c>
      <c r="D847">
        <v>12.106645274948203</v>
      </c>
      <c r="E847">
        <v>10.605462390099376</v>
      </c>
      <c r="F847">
        <v>4.9314135909080505</v>
      </c>
      <c r="G847">
        <v>12.106645274948203</v>
      </c>
      <c r="H847">
        <v>27.64352125595563</v>
      </c>
    </row>
    <row r="848" spans="1:8" x14ac:dyDescent="0.55000000000000004">
      <c r="A848">
        <v>845</v>
      </c>
      <c r="B848">
        <v>8.6491028078513832</v>
      </c>
      <c r="C848">
        <v>2.2166706323623657</v>
      </c>
      <c r="D848">
        <v>10.976549987712811</v>
      </c>
      <c r="E848">
        <v>8.6491028078513832</v>
      </c>
      <c r="F848">
        <v>2.2166706323623657</v>
      </c>
      <c r="G848">
        <v>10.976549987712811</v>
      </c>
      <c r="H848">
        <v>21.842323427926559</v>
      </c>
    </row>
    <row r="849" spans="1:8" x14ac:dyDescent="0.55000000000000004">
      <c r="A849">
        <v>846</v>
      </c>
      <c r="B849">
        <v>9.7236363364664111</v>
      </c>
      <c r="C849">
        <v>4.6578579545021057</v>
      </c>
      <c r="D849">
        <v>12.667490639168735</v>
      </c>
      <c r="E849">
        <v>9.7236363364664111</v>
      </c>
      <c r="F849">
        <v>4.6578579545021057</v>
      </c>
      <c r="G849">
        <v>12.667490639168735</v>
      </c>
      <c r="H849">
        <v>27.048984930137252</v>
      </c>
    </row>
    <row r="850" spans="1:8" x14ac:dyDescent="0.55000000000000004">
      <c r="A850">
        <v>847</v>
      </c>
      <c r="B850">
        <v>10.957252031230611</v>
      </c>
      <c r="C850">
        <v>4.068859338760376</v>
      </c>
      <c r="D850">
        <v>11.759574346276265</v>
      </c>
      <c r="E850">
        <v>10.957252031230611</v>
      </c>
      <c r="F850">
        <v>4.068859338760376</v>
      </c>
      <c r="G850">
        <v>11.759574346276265</v>
      </c>
      <c r="H850">
        <v>26.785685716267253</v>
      </c>
    </row>
    <row r="851" spans="1:8" x14ac:dyDescent="0.55000000000000004">
      <c r="A851">
        <v>848</v>
      </c>
      <c r="B851">
        <v>9.8311169039207336</v>
      </c>
      <c r="C851">
        <v>3.1867267489433289</v>
      </c>
      <c r="D851">
        <v>12.264764648639899</v>
      </c>
      <c r="E851">
        <v>9.8311169039207336</v>
      </c>
      <c r="F851">
        <v>3.1867267489433289</v>
      </c>
      <c r="G851">
        <v>12.264764648639899</v>
      </c>
      <c r="H851">
        <v>25.282608301503963</v>
      </c>
    </row>
    <row r="852" spans="1:8" x14ac:dyDescent="0.55000000000000004">
      <c r="A852">
        <v>849</v>
      </c>
      <c r="B852">
        <v>10.603574270442921</v>
      </c>
      <c r="C852">
        <v>4.8893774747848511</v>
      </c>
      <c r="D852">
        <v>13.485788847482084</v>
      </c>
      <c r="E852">
        <v>10.603574270442921</v>
      </c>
      <c r="F852">
        <v>4.8893774747848511</v>
      </c>
      <c r="G852">
        <v>13.485788847482084</v>
      </c>
      <c r="H852">
        <v>28.978740592709855</v>
      </c>
    </row>
    <row r="853" spans="1:8" x14ac:dyDescent="0.55000000000000004">
      <c r="A853">
        <v>850</v>
      </c>
      <c r="B853">
        <v>9.8390212385912559</v>
      </c>
      <c r="C853">
        <v>3.4583962559700012</v>
      </c>
      <c r="D853">
        <v>12.366764589311536</v>
      </c>
      <c r="E853">
        <v>9.8390212385912559</v>
      </c>
      <c r="F853">
        <v>3.4583962559700012</v>
      </c>
      <c r="G853">
        <v>12.366764589311536</v>
      </c>
      <c r="H853">
        <v>25.664182083872795</v>
      </c>
    </row>
    <row r="854" spans="1:8" x14ac:dyDescent="0.55000000000000004">
      <c r="A854">
        <v>851</v>
      </c>
      <c r="B854">
        <v>10.347105041208644</v>
      </c>
      <c r="C854">
        <v>3.6865029335021973</v>
      </c>
      <c r="D854">
        <v>11.970967240115982</v>
      </c>
      <c r="E854">
        <v>10.347105041208644</v>
      </c>
      <c r="F854">
        <v>3.6865029335021973</v>
      </c>
      <c r="G854">
        <v>11.970967240115982</v>
      </c>
      <c r="H854">
        <v>26.004575214826822</v>
      </c>
    </row>
    <row r="855" spans="1:8" x14ac:dyDescent="0.55000000000000004">
      <c r="A855">
        <v>852</v>
      </c>
      <c r="B855">
        <v>11.848289918615615</v>
      </c>
      <c r="C855">
        <v>3.4915508627891541</v>
      </c>
      <c r="D855">
        <v>12.455944451727113</v>
      </c>
      <c r="E855">
        <v>11.848289918615615</v>
      </c>
      <c r="F855">
        <v>3.4915508627891541</v>
      </c>
      <c r="G855">
        <v>12.455944451727113</v>
      </c>
      <c r="H855">
        <v>27.79578523313188</v>
      </c>
    </row>
    <row r="856" spans="1:8" x14ac:dyDescent="0.55000000000000004">
      <c r="A856">
        <v>853</v>
      </c>
      <c r="B856">
        <v>10.773645934000799</v>
      </c>
      <c r="C856">
        <v>2.4166947603225708</v>
      </c>
      <c r="D856">
        <v>12.191136326715462</v>
      </c>
      <c r="E856">
        <v>10.773645934000799</v>
      </c>
      <c r="F856">
        <v>2.4166947603225708</v>
      </c>
      <c r="G856">
        <v>12.191136326715462</v>
      </c>
      <c r="H856">
        <v>25.381477021038833</v>
      </c>
    </row>
    <row r="857" spans="1:8" x14ac:dyDescent="0.55000000000000004">
      <c r="A857">
        <v>854</v>
      </c>
      <c r="B857">
        <v>9.8644353118278616</v>
      </c>
      <c r="C857">
        <v>4.0164838433265686</v>
      </c>
      <c r="D857">
        <v>11.961699926482769</v>
      </c>
      <c r="E857">
        <v>9.8644353118278616</v>
      </c>
      <c r="F857">
        <v>4.0164838433265686</v>
      </c>
      <c r="G857">
        <v>11.961699926482769</v>
      </c>
      <c r="H857">
        <v>25.842619081637199</v>
      </c>
    </row>
    <row r="858" spans="1:8" x14ac:dyDescent="0.55000000000000004">
      <c r="A858">
        <v>855</v>
      </c>
      <c r="B858">
        <v>11.026463172559131</v>
      </c>
      <c r="C858">
        <v>2.3854720592498779</v>
      </c>
      <c r="D858">
        <v>12.01012343560995</v>
      </c>
      <c r="E858">
        <v>11.026463172559131</v>
      </c>
      <c r="F858">
        <v>2.3854720592498779</v>
      </c>
      <c r="G858">
        <v>12.01012343560995</v>
      </c>
      <c r="H858">
        <v>25.422058667418959</v>
      </c>
    </row>
    <row r="859" spans="1:8" x14ac:dyDescent="0.55000000000000004">
      <c r="A859">
        <v>856</v>
      </c>
      <c r="B859">
        <v>11.797976398389176</v>
      </c>
      <c r="C859">
        <v>2.1513668894767761</v>
      </c>
      <c r="D859">
        <v>14.134789942960422</v>
      </c>
      <c r="E859">
        <v>11.797976398389176</v>
      </c>
      <c r="F859">
        <v>2.1513668894767761</v>
      </c>
      <c r="G859">
        <v>14.134789942960422</v>
      </c>
      <c r="H859">
        <v>28.084133230826374</v>
      </c>
    </row>
    <row r="860" spans="1:8" x14ac:dyDescent="0.55000000000000004">
      <c r="A860">
        <v>857</v>
      </c>
      <c r="B860">
        <v>9.3155001998327762</v>
      </c>
      <c r="C860">
        <v>2.4881366491317749</v>
      </c>
      <c r="D860">
        <v>11.635334567623293</v>
      </c>
      <c r="E860">
        <v>9.3155001998327762</v>
      </c>
      <c r="F860">
        <v>2.4881366491317749</v>
      </c>
      <c r="G860">
        <v>11.635334567623293</v>
      </c>
      <c r="H860">
        <v>23.438971416587844</v>
      </c>
    </row>
    <row r="861" spans="1:8" x14ac:dyDescent="0.55000000000000004">
      <c r="A861">
        <v>858</v>
      </c>
      <c r="B861">
        <v>10.799844827859776</v>
      </c>
      <c r="C861">
        <v>4.4027383923530579</v>
      </c>
      <c r="D861">
        <v>11.104995680235277</v>
      </c>
      <c r="E861">
        <v>10.799844827859776</v>
      </c>
      <c r="F861">
        <v>4.4027383923530579</v>
      </c>
      <c r="G861">
        <v>11.104995680235277</v>
      </c>
      <c r="H861">
        <v>26.30757890044811</v>
      </c>
    </row>
    <row r="862" spans="1:8" x14ac:dyDescent="0.55000000000000004">
      <c r="A862">
        <v>859</v>
      </c>
      <c r="B862">
        <v>8.8409399493309451</v>
      </c>
      <c r="C862">
        <v>3.696589469909668</v>
      </c>
      <c r="D862">
        <v>14.076776972857136</v>
      </c>
      <c r="E862">
        <v>8.8409399493309451</v>
      </c>
      <c r="F862">
        <v>3.696589469909668</v>
      </c>
      <c r="G862">
        <v>14.076776972857136</v>
      </c>
      <c r="H862">
        <v>26.614306392097749</v>
      </c>
    </row>
    <row r="863" spans="1:8" x14ac:dyDescent="0.55000000000000004">
      <c r="A863">
        <v>860</v>
      </c>
      <c r="B863">
        <v>10.009345225537375</v>
      </c>
      <c r="C863">
        <v>3.0214604735374451</v>
      </c>
      <c r="D863">
        <v>11.065020208928175</v>
      </c>
      <c r="E863">
        <v>10.009345225537375</v>
      </c>
      <c r="F863">
        <v>3.0214604735374451</v>
      </c>
      <c r="G863">
        <v>11.065020208928175</v>
      </c>
      <c r="H863">
        <v>24.095825908002993</v>
      </c>
    </row>
    <row r="864" spans="1:8" x14ac:dyDescent="0.55000000000000004">
      <c r="A864">
        <v>861</v>
      </c>
      <c r="B864">
        <v>11.864136982521273</v>
      </c>
      <c r="C864">
        <v>3.9484907388687134</v>
      </c>
      <c r="D864">
        <v>11.297073670761892</v>
      </c>
      <c r="E864">
        <v>11.864136982521273</v>
      </c>
      <c r="F864">
        <v>3.9484907388687134</v>
      </c>
      <c r="G864">
        <v>11.297073670761892</v>
      </c>
      <c r="H864">
        <v>27.109701392151877</v>
      </c>
    </row>
    <row r="865" spans="1:8" x14ac:dyDescent="0.55000000000000004">
      <c r="A865">
        <v>862</v>
      </c>
      <c r="B865">
        <v>7.9737777440437867</v>
      </c>
      <c r="C865">
        <v>4.495394766330719</v>
      </c>
      <c r="D865">
        <v>11.260656707016933</v>
      </c>
      <c r="E865">
        <v>7.9737777440437867</v>
      </c>
      <c r="F865">
        <v>4.495394766330719</v>
      </c>
      <c r="G865">
        <v>11.260656707016933</v>
      </c>
      <c r="H865">
        <v>23.72982921739144</v>
      </c>
    </row>
    <row r="866" spans="1:8" x14ac:dyDescent="0.55000000000000004">
      <c r="A866">
        <v>863</v>
      </c>
      <c r="B866">
        <v>11.437715751867287</v>
      </c>
      <c r="C866">
        <v>4.3450138568878174</v>
      </c>
      <c r="D866">
        <v>10.394715068032557</v>
      </c>
      <c r="E866">
        <v>11.437715751867287</v>
      </c>
      <c r="F866">
        <v>4.3450138568878174</v>
      </c>
      <c r="G866">
        <v>10.394715068032557</v>
      </c>
      <c r="H866">
        <v>26.177444676787662</v>
      </c>
    </row>
    <row r="867" spans="1:8" x14ac:dyDescent="0.55000000000000004">
      <c r="A867">
        <v>864</v>
      </c>
      <c r="B867">
        <v>11.381647617580599</v>
      </c>
      <c r="C867">
        <v>4.7100469470024109</v>
      </c>
      <c r="D867">
        <v>11.043996811427075</v>
      </c>
      <c r="E867">
        <v>11.381647617580599</v>
      </c>
      <c r="F867">
        <v>4.7100469470024109</v>
      </c>
      <c r="G867">
        <v>11.043996811427075</v>
      </c>
      <c r="H867">
        <v>27.135691376010083</v>
      </c>
    </row>
    <row r="868" spans="1:8" x14ac:dyDescent="0.55000000000000004">
      <c r="A868">
        <v>865</v>
      </c>
      <c r="B868">
        <v>8.8164758264840799</v>
      </c>
      <c r="C868">
        <v>3.3134430646896362</v>
      </c>
      <c r="D868">
        <v>11.939302129332276</v>
      </c>
      <c r="E868">
        <v>8.8164758264840799</v>
      </c>
      <c r="F868">
        <v>3.3134430646896362</v>
      </c>
      <c r="G868">
        <v>11.939302129332276</v>
      </c>
      <c r="H868">
        <v>24.069221020505992</v>
      </c>
    </row>
    <row r="869" spans="1:8" x14ac:dyDescent="0.55000000000000004">
      <c r="A869">
        <v>866</v>
      </c>
      <c r="B869">
        <v>10.913155970785242</v>
      </c>
      <c r="C869">
        <v>4.058430016040802</v>
      </c>
      <c r="D869">
        <v>13.886604716469346</v>
      </c>
      <c r="E869">
        <v>10.913155970785242</v>
      </c>
      <c r="F869">
        <v>4.058430016040802</v>
      </c>
      <c r="G869">
        <v>13.886604716469346</v>
      </c>
      <c r="H869">
        <v>28.858190703295392</v>
      </c>
    </row>
    <row r="870" spans="1:8" x14ac:dyDescent="0.55000000000000004">
      <c r="A870">
        <v>867</v>
      </c>
      <c r="B870">
        <v>10.330857848400083</v>
      </c>
      <c r="C870">
        <v>4.1408648490905762</v>
      </c>
      <c r="D870">
        <v>11.697591945590705</v>
      </c>
      <c r="E870">
        <v>10.330857848400083</v>
      </c>
      <c r="F870">
        <v>4.1408648490905762</v>
      </c>
      <c r="G870">
        <v>11.697591945590705</v>
      </c>
      <c r="H870">
        <v>26.169314643081364</v>
      </c>
    </row>
    <row r="871" spans="1:8" x14ac:dyDescent="0.55000000000000004">
      <c r="A871">
        <v>868</v>
      </c>
      <c r="B871">
        <v>10.935890689082234</v>
      </c>
      <c r="C871">
        <v>3.5313963294029236</v>
      </c>
      <c r="D871">
        <v>11.55612139496013</v>
      </c>
      <c r="E871">
        <v>10.935890689082234</v>
      </c>
      <c r="F871">
        <v>3.5313963294029236</v>
      </c>
      <c r="G871">
        <v>11.55612139496013</v>
      </c>
      <c r="H871">
        <v>26.023408413445289</v>
      </c>
    </row>
    <row r="872" spans="1:8" x14ac:dyDescent="0.55000000000000004">
      <c r="A872">
        <v>869</v>
      </c>
      <c r="B872">
        <v>11.479347351613713</v>
      </c>
      <c r="C872">
        <v>2.0352030992507935</v>
      </c>
      <c r="D872">
        <v>11.444955936472834</v>
      </c>
      <c r="E872">
        <v>11.479347351613713</v>
      </c>
      <c r="F872">
        <v>2.0352030992507935</v>
      </c>
      <c r="G872">
        <v>11.444955936472834</v>
      </c>
      <c r="H872">
        <v>24.959506387337342</v>
      </c>
    </row>
    <row r="873" spans="1:8" x14ac:dyDescent="0.55000000000000004">
      <c r="A873">
        <v>870</v>
      </c>
      <c r="B873">
        <v>8.9281852007503684</v>
      </c>
      <c r="C873">
        <v>4.5696883797645569</v>
      </c>
      <c r="D873">
        <v>12.641049656968967</v>
      </c>
      <c r="E873">
        <v>8.9281852007503684</v>
      </c>
      <c r="F873">
        <v>4.5696883797645569</v>
      </c>
      <c r="G873">
        <v>12.641049656968967</v>
      </c>
      <c r="H873">
        <v>26.138923237483894</v>
      </c>
    </row>
    <row r="874" spans="1:8" x14ac:dyDescent="0.55000000000000004">
      <c r="A874">
        <v>871</v>
      </c>
      <c r="B874">
        <v>11.22469317540391</v>
      </c>
      <c r="C874">
        <v>4.6198480129241943</v>
      </c>
      <c r="D874">
        <v>12.458884672908493</v>
      </c>
      <c r="E874">
        <v>11.22469317540391</v>
      </c>
      <c r="F874">
        <v>4.6198480129241943</v>
      </c>
      <c r="G874">
        <v>12.458884672908493</v>
      </c>
      <c r="H874">
        <v>28.303425861236597</v>
      </c>
    </row>
    <row r="875" spans="1:8" x14ac:dyDescent="0.55000000000000004">
      <c r="A875">
        <v>872</v>
      </c>
      <c r="B875">
        <v>9.8601876438921874</v>
      </c>
      <c r="C875">
        <v>3.2089583277702332</v>
      </c>
      <c r="D875">
        <v>14.726655158347207</v>
      </c>
      <c r="E875">
        <v>9.8601876438921874</v>
      </c>
      <c r="F875">
        <v>3.2089583277702332</v>
      </c>
      <c r="G875">
        <v>14.726655158347207</v>
      </c>
      <c r="H875">
        <v>27.795801130009629</v>
      </c>
    </row>
    <row r="876" spans="1:8" x14ac:dyDescent="0.55000000000000004">
      <c r="A876">
        <v>873</v>
      </c>
      <c r="B876">
        <v>10.491652225824147</v>
      </c>
      <c r="C876">
        <v>2.5181287527084351</v>
      </c>
      <c r="D876">
        <v>11.454959122060606</v>
      </c>
      <c r="E876">
        <v>10.491652225824147</v>
      </c>
      <c r="F876">
        <v>2.5181287527084351</v>
      </c>
      <c r="G876">
        <v>11.454959122060606</v>
      </c>
      <c r="H876">
        <v>24.46474010059319</v>
      </c>
    </row>
    <row r="877" spans="1:8" x14ac:dyDescent="0.55000000000000004">
      <c r="A877">
        <v>874</v>
      </c>
      <c r="B877">
        <v>10.402875774496824</v>
      </c>
      <c r="C877">
        <v>2.7990062832832336</v>
      </c>
      <c r="D877">
        <v>11.954481340570544</v>
      </c>
      <c r="E877">
        <v>10.402875774496824</v>
      </c>
      <c r="F877">
        <v>2.7990062832832336</v>
      </c>
      <c r="G877">
        <v>11.954481340570544</v>
      </c>
      <c r="H877">
        <v>25.156363398350599</v>
      </c>
    </row>
    <row r="878" spans="1:8" x14ac:dyDescent="0.55000000000000004">
      <c r="A878">
        <v>875</v>
      </c>
      <c r="B878">
        <v>9.2950403042184604</v>
      </c>
      <c r="C878">
        <v>2.4338798522949219</v>
      </c>
      <c r="D878">
        <v>12.384919687468678</v>
      </c>
      <c r="E878">
        <v>9.2950403042184604</v>
      </c>
      <c r="F878">
        <v>2.4338798522949219</v>
      </c>
      <c r="G878">
        <v>12.384919687468678</v>
      </c>
      <c r="H878">
        <v>24.11383984398206</v>
      </c>
    </row>
    <row r="879" spans="1:8" x14ac:dyDescent="0.55000000000000004">
      <c r="A879">
        <v>876</v>
      </c>
      <c r="B879">
        <v>8.8516508375665026</v>
      </c>
      <c r="C879">
        <v>4.3284873366355896</v>
      </c>
      <c r="D879">
        <v>11.408349483254435</v>
      </c>
      <c r="E879">
        <v>8.8516508375665026</v>
      </c>
      <c r="F879">
        <v>4.3284873366355896</v>
      </c>
      <c r="G879">
        <v>11.408349483254435</v>
      </c>
      <c r="H879">
        <v>24.588487657456525</v>
      </c>
    </row>
    <row r="880" spans="1:8" x14ac:dyDescent="0.55000000000000004">
      <c r="A880">
        <v>877</v>
      </c>
      <c r="B880">
        <v>11.725627976555963</v>
      </c>
      <c r="C880">
        <v>4.884351372718811</v>
      </c>
      <c r="D880">
        <v>12.308499419560178</v>
      </c>
      <c r="E880">
        <v>11.725627976555963</v>
      </c>
      <c r="F880">
        <v>4.884351372718811</v>
      </c>
      <c r="G880">
        <v>12.308499419560178</v>
      </c>
      <c r="H880">
        <v>28.918478768834952</v>
      </c>
    </row>
    <row r="881" spans="1:8" x14ac:dyDescent="0.55000000000000004">
      <c r="A881">
        <v>878</v>
      </c>
      <c r="B881">
        <v>9.7742601238928621</v>
      </c>
      <c r="C881">
        <v>3.1363373398780823</v>
      </c>
      <c r="D881">
        <v>12.044528742767842</v>
      </c>
      <c r="E881">
        <v>9.7742601238928621</v>
      </c>
      <c r="F881">
        <v>3.1363373398780823</v>
      </c>
      <c r="G881">
        <v>12.044528742767842</v>
      </c>
      <c r="H881">
        <v>24.955126206538786</v>
      </c>
    </row>
    <row r="882" spans="1:8" x14ac:dyDescent="0.55000000000000004">
      <c r="A882">
        <v>879</v>
      </c>
      <c r="B882">
        <v>11.75840719186415</v>
      </c>
      <c r="C882">
        <v>4.4917128086090088</v>
      </c>
      <c r="D882">
        <v>13.089896969278691</v>
      </c>
      <c r="E882">
        <v>11.75840719186415</v>
      </c>
      <c r="F882">
        <v>4.4917128086090088</v>
      </c>
      <c r="G882">
        <v>13.089896969278691</v>
      </c>
      <c r="H882">
        <v>29.340016969751851</v>
      </c>
    </row>
    <row r="883" spans="1:8" x14ac:dyDescent="0.55000000000000004">
      <c r="A883">
        <v>880</v>
      </c>
      <c r="B883">
        <v>8.9834151565649165</v>
      </c>
      <c r="C883">
        <v>3.5411674380302429</v>
      </c>
      <c r="D883">
        <v>12.136575470849364</v>
      </c>
      <c r="E883">
        <v>8.9834151565649165</v>
      </c>
      <c r="F883">
        <v>3.5411674380302429</v>
      </c>
      <c r="G883">
        <v>12.136575470849364</v>
      </c>
      <c r="H883">
        <v>24.661158065444525</v>
      </c>
    </row>
    <row r="884" spans="1:8" x14ac:dyDescent="0.55000000000000004">
      <c r="A884">
        <v>881</v>
      </c>
      <c r="B884">
        <v>8.5262372738515726</v>
      </c>
      <c r="C884">
        <v>4.4894007444381714</v>
      </c>
      <c r="D884">
        <v>12.13670239837028</v>
      </c>
      <c r="E884">
        <v>8.5262372738515726</v>
      </c>
      <c r="F884">
        <v>4.4894007444381714</v>
      </c>
      <c r="G884">
        <v>12.13670239837028</v>
      </c>
      <c r="H884">
        <v>25.152340416660024</v>
      </c>
    </row>
    <row r="885" spans="1:8" x14ac:dyDescent="0.55000000000000004">
      <c r="A885">
        <v>882</v>
      </c>
      <c r="B885">
        <v>10.686721397586476</v>
      </c>
      <c r="C885">
        <v>3.6698773503303528</v>
      </c>
      <c r="D885">
        <v>12.801085416914923</v>
      </c>
      <c r="E885">
        <v>10.686721397586476</v>
      </c>
      <c r="F885">
        <v>3.6698773503303528</v>
      </c>
      <c r="G885">
        <v>12.801085416914923</v>
      </c>
      <c r="H885">
        <v>27.15768416483175</v>
      </c>
    </row>
    <row r="886" spans="1:8" x14ac:dyDescent="0.55000000000000004">
      <c r="A886">
        <v>883</v>
      </c>
      <c r="B886">
        <v>9.090984016926857</v>
      </c>
      <c r="C886">
        <v>4.8495602607727051</v>
      </c>
      <c r="D886">
        <v>13.485733936400687</v>
      </c>
      <c r="E886">
        <v>9.090984016926857</v>
      </c>
      <c r="F886">
        <v>4.8495602607727051</v>
      </c>
      <c r="G886">
        <v>13.485733936400687</v>
      </c>
      <c r="H886">
        <v>27.42627821410025</v>
      </c>
    </row>
    <row r="887" spans="1:8" x14ac:dyDescent="0.55000000000000004">
      <c r="A887">
        <v>884</v>
      </c>
      <c r="B887">
        <v>10.841460971238954</v>
      </c>
      <c r="C887">
        <v>2.5167374014854431</v>
      </c>
      <c r="D887">
        <v>13.284414777539395</v>
      </c>
      <c r="E887">
        <v>10.841460971238954</v>
      </c>
      <c r="F887">
        <v>2.5167374014854431</v>
      </c>
      <c r="G887">
        <v>13.284414777539395</v>
      </c>
      <c r="H887">
        <v>26.642613150263792</v>
      </c>
    </row>
    <row r="888" spans="1:8" x14ac:dyDescent="0.55000000000000004">
      <c r="A888">
        <v>885</v>
      </c>
      <c r="B888">
        <v>11.075407979100659</v>
      </c>
      <c r="C888">
        <v>2.1878300905227661</v>
      </c>
      <c r="D888">
        <v>12.012645042221381</v>
      </c>
      <c r="E888">
        <v>11.075407979100659</v>
      </c>
      <c r="F888">
        <v>2.1878300905227661</v>
      </c>
      <c r="G888">
        <v>12.012645042221381</v>
      </c>
      <c r="H888">
        <v>25.275883111844806</v>
      </c>
    </row>
    <row r="889" spans="1:8" x14ac:dyDescent="0.55000000000000004">
      <c r="A889">
        <v>886</v>
      </c>
      <c r="B889">
        <v>10.022371334039503</v>
      </c>
      <c r="C889">
        <v>4.0141893029212952</v>
      </c>
      <c r="D889">
        <v>12.55227575314386</v>
      </c>
      <c r="E889">
        <v>10.022371334039503</v>
      </c>
      <c r="F889">
        <v>4.0141893029212952</v>
      </c>
      <c r="G889">
        <v>12.55227575314386</v>
      </c>
      <c r="H889">
        <v>26.58883639010466</v>
      </c>
    </row>
    <row r="890" spans="1:8" x14ac:dyDescent="0.55000000000000004">
      <c r="A890">
        <v>887</v>
      </c>
      <c r="B890">
        <v>9.314924855765593</v>
      </c>
      <c r="C890">
        <v>4.3517215251922607</v>
      </c>
      <c r="D890">
        <v>10.582045279724207</v>
      </c>
      <c r="E890">
        <v>9.314924855765593</v>
      </c>
      <c r="F890">
        <v>4.3517215251922607</v>
      </c>
      <c r="G890">
        <v>10.582045279724207</v>
      </c>
      <c r="H890">
        <v>24.248691660682063</v>
      </c>
    </row>
    <row r="891" spans="1:8" x14ac:dyDescent="0.55000000000000004">
      <c r="A891">
        <v>888</v>
      </c>
      <c r="B891">
        <v>10.272373837566951</v>
      </c>
      <c r="C891">
        <v>2.6466156840324402</v>
      </c>
      <c r="D891">
        <v>12.73318368071094</v>
      </c>
      <c r="E891">
        <v>10.272373837566951</v>
      </c>
      <c r="F891">
        <v>2.6466156840324402</v>
      </c>
      <c r="G891">
        <v>12.73318368071094</v>
      </c>
      <c r="H891">
        <v>25.65217320231033</v>
      </c>
    </row>
    <row r="892" spans="1:8" x14ac:dyDescent="0.55000000000000004">
      <c r="A892">
        <v>889</v>
      </c>
      <c r="B892">
        <v>10.363769046729402</v>
      </c>
      <c r="C892">
        <v>3.3488410711288452</v>
      </c>
      <c r="D892">
        <v>13.912436543046969</v>
      </c>
      <c r="E892">
        <v>10.363769046729402</v>
      </c>
      <c r="F892">
        <v>3.3488410711288452</v>
      </c>
      <c r="G892">
        <v>13.912436543046969</v>
      </c>
      <c r="H892">
        <v>27.625046660905216</v>
      </c>
    </row>
    <row r="893" spans="1:8" x14ac:dyDescent="0.55000000000000004">
      <c r="A893">
        <v>890</v>
      </c>
      <c r="B893">
        <v>9.7318879633060185</v>
      </c>
      <c r="C893">
        <v>4.8883283734321594</v>
      </c>
      <c r="D893">
        <v>11.300225216357049</v>
      </c>
      <c r="E893">
        <v>9.7318879633060185</v>
      </c>
      <c r="F893">
        <v>4.8883283734321594</v>
      </c>
      <c r="G893">
        <v>11.300225216357049</v>
      </c>
      <c r="H893">
        <v>25.920441553095227</v>
      </c>
    </row>
    <row r="894" spans="1:8" x14ac:dyDescent="0.55000000000000004">
      <c r="A894">
        <v>891</v>
      </c>
      <c r="B894">
        <v>9.5325328459650827</v>
      </c>
      <c r="C894">
        <v>4.0212068557739258</v>
      </c>
      <c r="D894">
        <v>13.495835660811206</v>
      </c>
      <c r="E894">
        <v>9.5325328459650827</v>
      </c>
      <c r="F894">
        <v>4.0212068557739258</v>
      </c>
      <c r="G894">
        <v>13.495835660811206</v>
      </c>
      <c r="H894">
        <v>27.049575362550215</v>
      </c>
    </row>
    <row r="895" spans="1:8" x14ac:dyDescent="0.55000000000000004">
      <c r="A895">
        <v>892</v>
      </c>
      <c r="B895">
        <v>11.626563386912615</v>
      </c>
      <c r="C895">
        <v>3.4970254302024841</v>
      </c>
      <c r="D895">
        <v>14.209804253383837</v>
      </c>
      <c r="E895">
        <v>11.626563386912615</v>
      </c>
      <c r="F895">
        <v>3.4970254302024841</v>
      </c>
      <c r="G895">
        <v>14.209804253383837</v>
      </c>
      <c r="H895">
        <v>29.333393070498936</v>
      </c>
    </row>
    <row r="896" spans="1:8" x14ac:dyDescent="0.55000000000000004">
      <c r="A896">
        <v>893</v>
      </c>
      <c r="B896">
        <v>9.8933670656514536</v>
      </c>
      <c r="C896">
        <v>2.6219087839126587</v>
      </c>
      <c r="D896">
        <v>10.868352639965412</v>
      </c>
      <c r="E896">
        <v>9.8933670656514536</v>
      </c>
      <c r="F896">
        <v>2.6219087839126587</v>
      </c>
      <c r="G896">
        <v>10.868352639965412</v>
      </c>
      <c r="H896">
        <v>23.383628489529524</v>
      </c>
    </row>
    <row r="897" spans="1:8" x14ac:dyDescent="0.55000000000000004">
      <c r="A897">
        <v>894</v>
      </c>
      <c r="B897">
        <v>10.512489376178856</v>
      </c>
      <c r="C897">
        <v>2.4439669251441956</v>
      </c>
      <c r="D897">
        <v>11.437092267137061</v>
      </c>
      <c r="E897">
        <v>10.512489376178856</v>
      </c>
      <c r="F897">
        <v>2.4439669251441956</v>
      </c>
      <c r="G897">
        <v>11.437092267137061</v>
      </c>
      <c r="H897">
        <v>24.393548568460112</v>
      </c>
    </row>
    <row r="898" spans="1:8" x14ac:dyDescent="0.55000000000000004">
      <c r="A898">
        <v>895</v>
      </c>
      <c r="B898">
        <v>9.3164460218077423</v>
      </c>
      <c r="C898">
        <v>2.2003624439239502</v>
      </c>
      <c r="D898">
        <v>11.109122287818725</v>
      </c>
      <c r="E898">
        <v>9.3164460218077423</v>
      </c>
      <c r="F898">
        <v>2.2003624439239502</v>
      </c>
      <c r="G898">
        <v>11.109122287818725</v>
      </c>
      <c r="H898">
        <v>22.625930753550417</v>
      </c>
    </row>
    <row r="899" spans="1:8" x14ac:dyDescent="0.55000000000000004">
      <c r="A899">
        <v>896</v>
      </c>
      <c r="B899">
        <v>10.898570973207946</v>
      </c>
      <c r="C899">
        <v>2.012119472026825</v>
      </c>
      <c r="D899">
        <v>12.577085779485955</v>
      </c>
      <c r="E899">
        <v>10.898570973207946</v>
      </c>
      <c r="F899">
        <v>2.012119472026825</v>
      </c>
      <c r="G899">
        <v>12.577085779485955</v>
      </c>
      <c r="H899">
        <v>25.487776224720726</v>
      </c>
    </row>
    <row r="900" spans="1:8" x14ac:dyDescent="0.55000000000000004">
      <c r="A900">
        <v>897</v>
      </c>
      <c r="B900">
        <v>10.119843431136493</v>
      </c>
      <c r="C900">
        <v>2.4524067640304565</v>
      </c>
      <c r="D900">
        <v>10.867615121793715</v>
      </c>
      <c r="E900">
        <v>10.119843431136493</v>
      </c>
      <c r="F900">
        <v>2.4524067640304565</v>
      </c>
      <c r="G900">
        <v>10.867615121793715</v>
      </c>
      <c r="H900">
        <v>23.439865316960663</v>
      </c>
    </row>
    <row r="901" spans="1:8" x14ac:dyDescent="0.55000000000000004">
      <c r="A901">
        <v>898</v>
      </c>
      <c r="B901">
        <v>9.1170332703713211</v>
      </c>
      <c r="C901">
        <v>4.3435195088386536</v>
      </c>
      <c r="D901">
        <v>13.932935645309341</v>
      </c>
      <c r="E901">
        <v>9.1170332703713211</v>
      </c>
      <c r="F901">
        <v>4.3435195088386536</v>
      </c>
      <c r="G901">
        <v>13.932935645309341</v>
      </c>
      <c r="H901">
        <v>27.393488424519315</v>
      </c>
    </row>
    <row r="902" spans="1:8" x14ac:dyDescent="0.55000000000000004">
      <c r="A902">
        <v>899</v>
      </c>
      <c r="B902">
        <v>10.420604028664252</v>
      </c>
      <c r="C902">
        <v>4.441495418548584</v>
      </c>
      <c r="D902">
        <v>11.475361209219621</v>
      </c>
      <c r="E902">
        <v>10.420604028664252</v>
      </c>
      <c r="F902">
        <v>4.441495418548584</v>
      </c>
      <c r="G902">
        <v>11.475361209219621</v>
      </c>
      <c r="H902">
        <v>26.337460656432455</v>
      </c>
    </row>
    <row r="903" spans="1:8" x14ac:dyDescent="0.55000000000000004">
      <c r="A903">
        <v>900</v>
      </c>
      <c r="B903">
        <v>11.136126272818426</v>
      </c>
      <c r="C903">
        <v>4.4671053290367126</v>
      </c>
      <c r="D903">
        <v>11.18379406131003</v>
      </c>
      <c r="E903">
        <v>11.136126272818426</v>
      </c>
      <c r="F903">
        <v>4.4671053290367126</v>
      </c>
      <c r="G903">
        <v>11.18379406131003</v>
      </c>
      <c r="H903">
        <v>26.787025663165167</v>
      </c>
    </row>
    <row r="904" spans="1:8" x14ac:dyDescent="0.55000000000000004">
      <c r="A904">
        <v>901</v>
      </c>
      <c r="B904">
        <v>8.6778357921238225</v>
      </c>
      <c r="C904">
        <v>2.3472319841384888</v>
      </c>
      <c r="D904">
        <v>11.101750946158775</v>
      </c>
      <c r="E904">
        <v>8.6778357921238225</v>
      </c>
      <c r="F904">
        <v>2.3472319841384888</v>
      </c>
      <c r="G904">
        <v>11.101750946158775</v>
      </c>
      <c r="H904">
        <v>22.126818722421085</v>
      </c>
    </row>
    <row r="905" spans="1:8" x14ac:dyDescent="0.55000000000000004">
      <c r="A905">
        <v>902</v>
      </c>
      <c r="B905">
        <v>9.5009412672990976</v>
      </c>
      <c r="C905">
        <v>4.5882678627967834</v>
      </c>
      <c r="D905">
        <v>12.941313367474315</v>
      </c>
      <c r="E905">
        <v>9.5009412672990976</v>
      </c>
      <c r="F905">
        <v>4.5882678627967834</v>
      </c>
      <c r="G905">
        <v>12.941313367474315</v>
      </c>
      <c r="H905">
        <v>27.030522497570196</v>
      </c>
    </row>
    <row r="906" spans="1:8" x14ac:dyDescent="0.55000000000000004">
      <c r="A906">
        <v>903</v>
      </c>
      <c r="B906">
        <v>9.6207150000460686</v>
      </c>
      <c r="C906">
        <v>4.1474988460540771</v>
      </c>
      <c r="D906">
        <v>12.294374541972008</v>
      </c>
      <c r="E906">
        <v>9.6207150000460686</v>
      </c>
      <c r="F906">
        <v>4.1474988460540771</v>
      </c>
      <c r="G906">
        <v>12.294374541972008</v>
      </c>
      <c r="H906">
        <v>26.062588388072154</v>
      </c>
    </row>
    <row r="907" spans="1:8" x14ac:dyDescent="0.55000000000000004">
      <c r="A907">
        <v>904</v>
      </c>
      <c r="B907">
        <v>10.660907305766111</v>
      </c>
      <c r="C907">
        <v>3.1713702082633972</v>
      </c>
      <c r="D907">
        <v>12.665150184355863</v>
      </c>
      <c r="E907">
        <v>10.660907305766111</v>
      </c>
      <c r="F907">
        <v>3.1713702082633972</v>
      </c>
      <c r="G907">
        <v>12.665150184355863</v>
      </c>
      <c r="H907">
        <v>26.497427698385373</v>
      </c>
    </row>
    <row r="908" spans="1:8" x14ac:dyDescent="0.55000000000000004">
      <c r="A908">
        <v>905</v>
      </c>
      <c r="B908">
        <v>9.147886914713288</v>
      </c>
      <c r="C908">
        <v>3.8904298543930054</v>
      </c>
      <c r="D908">
        <v>12.308053667417093</v>
      </c>
      <c r="E908">
        <v>9.147886914713288</v>
      </c>
      <c r="F908">
        <v>3.8904298543930054</v>
      </c>
      <c r="G908">
        <v>12.308053667417093</v>
      </c>
      <c r="H908">
        <v>25.346370436523387</v>
      </c>
    </row>
    <row r="909" spans="1:8" x14ac:dyDescent="0.55000000000000004">
      <c r="A909">
        <v>906</v>
      </c>
      <c r="B909">
        <v>10.191153768868611</v>
      </c>
      <c r="C909">
        <v>4.0964859127998352</v>
      </c>
      <c r="D909">
        <v>11.462008160433975</v>
      </c>
      <c r="E909">
        <v>10.191153768868611</v>
      </c>
      <c r="F909">
        <v>4.0964859127998352</v>
      </c>
      <c r="G909">
        <v>11.462008160433975</v>
      </c>
      <c r="H909">
        <v>25.749647842102419</v>
      </c>
    </row>
    <row r="910" spans="1:8" x14ac:dyDescent="0.55000000000000004">
      <c r="A910">
        <v>907</v>
      </c>
      <c r="B910">
        <v>11.072735767480109</v>
      </c>
      <c r="C910">
        <v>2.9624767303466797</v>
      </c>
      <c r="D910">
        <v>11.16510930453131</v>
      </c>
      <c r="E910">
        <v>11.072735767480109</v>
      </c>
      <c r="F910">
        <v>2.9624767303466797</v>
      </c>
      <c r="G910">
        <v>11.16510930453131</v>
      </c>
      <c r="H910">
        <v>25.200321802358097</v>
      </c>
    </row>
    <row r="911" spans="1:8" x14ac:dyDescent="0.55000000000000004">
      <c r="A911">
        <v>908</v>
      </c>
      <c r="B911">
        <v>10.194774949920561</v>
      </c>
      <c r="C911">
        <v>4.9216060042381287</v>
      </c>
      <c r="D911">
        <v>13.807707318987342</v>
      </c>
      <c r="E911">
        <v>10.194774949920561</v>
      </c>
      <c r="F911">
        <v>4.9216060042381287</v>
      </c>
      <c r="G911">
        <v>13.807707318987342</v>
      </c>
      <c r="H911">
        <v>28.924088273146033</v>
      </c>
    </row>
    <row r="912" spans="1:8" x14ac:dyDescent="0.55000000000000004">
      <c r="A912">
        <v>909</v>
      </c>
      <c r="B912">
        <v>8.8271817241891348</v>
      </c>
      <c r="C912">
        <v>4.5088192224502563</v>
      </c>
      <c r="D912">
        <v>10.518456631170087</v>
      </c>
      <c r="E912">
        <v>8.8271817241891348</v>
      </c>
      <c r="F912">
        <v>4.5088192224502563</v>
      </c>
      <c r="G912">
        <v>10.518456631170087</v>
      </c>
      <c r="H912">
        <v>23.854457577809477</v>
      </c>
    </row>
    <row r="913" spans="1:8" x14ac:dyDescent="0.55000000000000004">
      <c r="A913">
        <v>910</v>
      </c>
      <c r="B913">
        <v>9.3674730858063313</v>
      </c>
      <c r="C913">
        <v>2.0315647721290588</v>
      </c>
      <c r="D913">
        <v>12.45567280712358</v>
      </c>
      <c r="E913">
        <v>9.3674730858063313</v>
      </c>
      <c r="F913">
        <v>2.0315647721290588</v>
      </c>
      <c r="G913">
        <v>12.45567280712358</v>
      </c>
      <c r="H913">
        <v>23.85471066505897</v>
      </c>
    </row>
    <row r="914" spans="1:8" x14ac:dyDescent="0.55000000000000004">
      <c r="A914">
        <v>911</v>
      </c>
      <c r="B914">
        <v>9.5950007894524205</v>
      </c>
      <c r="C914">
        <v>4.9123690128326416</v>
      </c>
      <c r="D914">
        <v>14.170857137354009</v>
      </c>
      <c r="E914">
        <v>9.5950007894524205</v>
      </c>
      <c r="F914">
        <v>4.9123690128326416</v>
      </c>
      <c r="G914">
        <v>14.170857137354009</v>
      </c>
      <c r="H914">
        <v>28.678226939639071</v>
      </c>
    </row>
    <row r="915" spans="1:8" x14ac:dyDescent="0.55000000000000004">
      <c r="A915">
        <v>912</v>
      </c>
      <c r="B915">
        <v>10.904294986481627</v>
      </c>
      <c r="C915">
        <v>3.204934298992157</v>
      </c>
      <c r="D915">
        <v>13.768836081556131</v>
      </c>
      <c r="E915">
        <v>10.904294986481627</v>
      </c>
      <c r="F915">
        <v>3.204934298992157</v>
      </c>
      <c r="G915">
        <v>13.768836081556131</v>
      </c>
      <c r="H915">
        <v>27.878065367029915</v>
      </c>
    </row>
    <row r="916" spans="1:8" x14ac:dyDescent="0.55000000000000004">
      <c r="A916">
        <v>913</v>
      </c>
      <c r="B916">
        <v>10.723831772667442</v>
      </c>
      <c r="C916">
        <v>3.9876173734664917</v>
      </c>
      <c r="D916">
        <v>12.22791898346885</v>
      </c>
      <c r="E916">
        <v>10.723831772667442</v>
      </c>
      <c r="F916">
        <v>3.9876173734664917</v>
      </c>
      <c r="G916">
        <v>12.22791898346885</v>
      </c>
      <c r="H916">
        <v>26.939368129602784</v>
      </c>
    </row>
    <row r="917" spans="1:8" x14ac:dyDescent="0.55000000000000004">
      <c r="A917">
        <v>914</v>
      </c>
      <c r="B917">
        <v>9.5404157373314007</v>
      </c>
      <c r="C917">
        <v>2.8801377415657043</v>
      </c>
      <c r="D917">
        <v>10.348500801118343</v>
      </c>
      <c r="E917">
        <v>9.5404157373314007</v>
      </c>
      <c r="F917">
        <v>2.8801377415657043</v>
      </c>
      <c r="G917">
        <v>10.348500801118343</v>
      </c>
      <c r="H917">
        <v>22.769054280015446</v>
      </c>
    </row>
    <row r="918" spans="1:8" x14ac:dyDescent="0.55000000000000004">
      <c r="A918">
        <v>915</v>
      </c>
      <c r="B918">
        <v>10.509042857059082</v>
      </c>
      <c r="C918">
        <v>2.2955765724182129</v>
      </c>
      <c r="D918">
        <v>13.277210733787285</v>
      </c>
      <c r="E918">
        <v>10.509042857059082</v>
      </c>
      <c r="F918">
        <v>2.2955765724182129</v>
      </c>
      <c r="G918">
        <v>13.277210733787285</v>
      </c>
      <c r="H918">
        <v>26.081830163264581</v>
      </c>
    </row>
    <row r="919" spans="1:8" x14ac:dyDescent="0.55000000000000004">
      <c r="A919">
        <v>916</v>
      </c>
      <c r="B919">
        <v>9.3934748518531777</v>
      </c>
      <c r="C919">
        <v>2.1520313620567322</v>
      </c>
      <c r="D919">
        <v>11.969586694126908</v>
      </c>
      <c r="E919">
        <v>9.3934748518531777</v>
      </c>
      <c r="F919">
        <v>2.1520313620567322</v>
      </c>
      <c r="G919">
        <v>11.969586694126908</v>
      </c>
      <c r="H919">
        <v>23.51509290803682</v>
      </c>
    </row>
    <row r="920" spans="1:8" x14ac:dyDescent="0.55000000000000004">
      <c r="A920">
        <v>917</v>
      </c>
      <c r="B920">
        <v>9.7731710606867708</v>
      </c>
      <c r="C920">
        <v>2.7360650300979614</v>
      </c>
      <c r="D920">
        <v>12.763031031047483</v>
      </c>
      <c r="E920">
        <v>9.7731710606867708</v>
      </c>
      <c r="F920">
        <v>2.7360650300979614</v>
      </c>
      <c r="G920">
        <v>12.763031031047483</v>
      </c>
      <c r="H920">
        <v>25.272267121832215</v>
      </c>
    </row>
    <row r="921" spans="1:8" x14ac:dyDescent="0.55000000000000004">
      <c r="A921">
        <v>918</v>
      </c>
      <c r="B921">
        <v>10.134395285187015</v>
      </c>
      <c r="C921">
        <v>3.2802053093910217</v>
      </c>
      <c r="D921">
        <v>12.700951184127733</v>
      </c>
      <c r="E921">
        <v>10.134395285187015</v>
      </c>
      <c r="F921">
        <v>3.2802053093910217</v>
      </c>
      <c r="G921">
        <v>12.700951184127733</v>
      </c>
      <c r="H921">
        <v>26.115551778705772</v>
      </c>
    </row>
    <row r="922" spans="1:8" x14ac:dyDescent="0.55000000000000004">
      <c r="A922">
        <v>919</v>
      </c>
      <c r="B922">
        <v>11.226623462324609</v>
      </c>
      <c r="C922">
        <v>4.3235862255096436</v>
      </c>
      <c r="D922">
        <v>14.314191428029323</v>
      </c>
      <c r="E922">
        <v>11.226623462324609</v>
      </c>
      <c r="F922">
        <v>4.3235862255096436</v>
      </c>
      <c r="G922">
        <v>14.314191428029323</v>
      </c>
      <c r="H922">
        <v>29.864401115863576</v>
      </c>
    </row>
    <row r="923" spans="1:8" x14ac:dyDescent="0.55000000000000004">
      <c r="A923">
        <v>920</v>
      </c>
      <c r="B923">
        <v>9.7527751699847354</v>
      </c>
      <c r="C923">
        <v>2.2402531504631042</v>
      </c>
      <c r="D923">
        <v>13.66746915190943</v>
      </c>
      <c r="E923">
        <v>9.7527751699847354</v>
      </c>
      <c r="F923">
        <v>2.2402531504631042</v>
      </c>
      <c r="G923">
        <v>13.66746915190943</v>
      </c>
      <c r="H923">
        <v>25.660497472357271</v>
      </c>
    </row>
    <row r="924" spans="1:8" x14ac:dyDescent="0.55000000000000004">
      <c r="A924">
        <v>921</v>
      </c>
      <c r="B924">
        <v>10.50617715450344</v>
      </c>
      <c r="C924">
        <v>3.8030513525009155</v>
      </c>
      <c r="D924">
        <v>11.923611701371538</v>
      </c>
      <c r="E924">
        <v>10.50617715450344</v>
      </c>
      <c r="F924">
        <v>3.8030513525009155</v>
      </c>
      <c r="G924">
        <v>11.923611701371538</v>
      </c>
      <c r="H924">
        <v>26.232840208375894</v>
      </c>
    </row>
    <row r="925" spans="1:8" x14ac:dyDescent="0.55000000000000004">
      <c r="A925">
        <v>922</v>
      </c>
      <c r="B925">
        <v>8.0429643326619846</v>
      </c>
      <c r="C925">
        <v>3.599260151386261</v>
      </c>
      <c r="D925">
        <v>12.251909268531925</v>
      </c>
      <c r="E925">
        <v>8.0429643326619846</v>
      </c>
      <c r="F925">
        <v>3.599260151386261</v>
      </c>
      <c r="G925">
        <v>12.251909268531925</v>
      </c>
      <c r="H925">
        <v>23.894133752580171</v>
      </c>
    </row>
    <row r="926" spans="1:8" x14ac:dyDescent="0.55000000000000004">
      <c r="A926">
        <v>923</v>
      </c>
      <c r="B926">
        <v>10.256398295503882</v>
      </c>
      <c r="C926">
        <v>3.5115957260131836</v>
      </c>
      <c r="D926">
        <v>13.983978788925796</v>
      </c>
      <c r="E926">
        <v>10.256398295503882</v>
      </c>
      <c r="F926">
        <v>3.5115957260131836</v>
      </c>
      <c r="G926">
        <v>13.983978788925796</v>
      </c>
      <c r="H926">
        <v>27.751972810442862</v>
      </c>
    </row>
    <row r="927" spans="1:8" x14ac:dyDescent="0.55000000000000004">
      <c r="A927">
        <v>924</v>
      </c>
      <c r="B927">
        <v>11.118260228453426</v>
      </c>
      <c r="C927">
        <v>4.7467603087425232</v>
      </c>
      <c r="D927">
        <v>13.270692651029414</v>
      </c>
      <c r="E927">
        <v>11.118260228453426</v>
      </c>
      <c r="F927">
        <v>4.7467603087425232</v>
      </c>
      <c r="G927">
        <v>13.270692651029414</v>
      </c>
      <c r="H927">
        <v>29.135713188225363</v>
      </c>
    </row>
    <row r="928" spans="1:8" x14ac:dyDescent="0.55000000000000004">
      <c r="A928">
        <v>925</v>
      </c>
      <c r="B928">
        <v>11.031382745204793</v>
      </c>
      <c r="C928">
        <v>3.642738938331604</v>
      </c>
      <c r="D928">
        <v>13.290074634758613</v>
      </c>
      <c r="E928">
        <v>11.031382745204793</v>
      </c>
      <c r="F928">
        <v>3.642738938331604</v>
      </c>
      <c r="G928">
        <v>13.290074634758613</v>
      </c>
      <c r="H928">
        <v>27.964196318295009</v>
      </c>
    </row>
    <row r="929" spans="1:8" x14ac:dyDescent="0.55000000000000004">
      <c r="A929">
        <v>926</v>
      </c>
      <c r="B929">
        <v>10.67589830327212</v>
      </c>
      <c r="C929">
        <v>2.2624121308326721</v>
      </c>
      <c r="D929">
        <v>13.252248437348786</v>
      </c>
      <c r="E929">
        <v>10.67589830327212</v>
      </c>
      <c r="F929">
        <v>2.2624121308326721</v>
      </c>
      <c r="G929">
        <v>13.252248437348786</v>
      </c>
      <c r="H929">
        <v>26.190558871453579</v>
      </c>
    </row>
    <row r="930" spans="1:8" x14ac:dyDescent="0.55000000000000004">
      <c r="A930">
        <v>927</v>
      </c>
      <c r="B930">
        <v>8.4114984075112957</v>
      </c>
      <c r="C930">
        <v>2.819138765335083</v>
      </c>
      <c r="D930">
        <v>11.844097589605967</v>
      </c>
      <c r="E930">
        <v>8.4114984075112957</v>
      </c>
      <c r="F930">
        <v>2.819138765335083</v>
      </c>
      <c r="G930">
        <v>11.844097589605967</v>
      </c>
      <c r="H930">
        <v>23.074734762452344</v>
      </c>
    </row>
    <row r="931" spans="1:8" x14ac:dyDescent="0.55000000000000004">
      <c r="A931">
        <v>928</v>
      </c>
      <c r="B931">
        <v>9.5523629099301406</v>
      </c>
      <c r="C931">
        <v>4.951643168926239</v>
      </c>
      <c r="D931">
        <v>13.766439054416766</v>
      </c>
      <c r="E931">
        <v>9.5523629099301406</v>
      </c>
      <c r="F931">
        <v>4.951643168926239</v>
      </c>
      <c r="G931">
        <v>13.766439054416766</v>
      </c>
      <c r="H931">
        <v>28.270445133273146</v>
      </c>
    </row>
    <row r="932" spans="1:8" x14ac:dyDescent="0.55000000000000004">
      <c r="A932">
        <v>929</v>
      </c>
      <c r="B932">
        <v>9.1157243986035201</v>
      </c>
      <c r="C932">
        <v>4.6301888227462769</v>
      </c>
      <c r="D932">
        <v>11.366804450734467</v>
      </c>
      <c r="E932">
        <v>9.1157243986035201</v>
      </c>
      <c r="F932">
        <v>4.6301888227462769</v>
      </c>
      <c r="G932">
        <v>11.366804450734467</v>
      </c>
      <c r="H932">
        <v>25.112717672084266</v>
      </c>
    </row>
    <row r="933" spans="1:8" x14ac:dyDescent="0.55000000000000004">
      <c r="A933">
        <v>930</v>
      </c>
      <c r="B933">
        <v>10.268727248340801</v>
      </c>
      <c r="C933">
        <v>2.8305132985115051</v>
      </c>
      <c r="D933">
        <v>12.39408798213764</v>
      </c>
      <c r="E933">
        <v>10.268727248340801</v>
      </c>
      <c r="F933">
        <v>2.8305132985115051</v>
      </c>
      <c r="G933">
        <v>12.39408798213764</v>
      </c>
      <c r="H933">
        <v>25.493328528989945</v>
      </c>
    </row>
    <row r="934" spans="1:8" x14ac:dyDescent="0.55000000000000004">
      <c r="A934">
        <v>931</v>
      </c>
      <c r="B934">
        <v>8.9538578146046746</v>
      </c>
      <c r="C934">
        <v>4.5407099723815918</v>
      </c>
      <c r="D934">
        <v>11.590186117363476</v>
      </c>
      <c r="E934">
        <v>8.9538578146046746</v>
      </c>
      <c r="F934">
        <v>4.5407099723815918</v>
      </c>
      <c r="G934">
        <v>11.590186117363476</v>
      </c>
      <c r="H934">
        <v>25.084753904349743</v>
      </c>
    </row>
    <row r="935" spans="1:8" x14ac:dyDescent="0.55000000000000004">
      <c r="A935">
        <v>932</v>
      </c>
      <c r="B935">
        <v>9.951173026580987</v>
      </c>
      <c r="C935">
        <v>4.0910467505455017</v>
      </c>
      <c r="D935">
        <v>14.004065133592912</v>
      </c>
      <c r="E935">
        <v>9.951173026580987</v>
      </c>
      <c r="F935">
        <v>4.0910467505455017</v>
      </c>
      <c r="G935">
        <v>14.004065133592912</v>
      </c>
      <c r="H935">
        <v>28.0462849107194</v>
      </c>
    </row>
    <row r="936" spans="1:8" x14ac:dyDescent="0.55000000000000004">
      <c r="A936">
        <v>933</v>
      </c>
      <c r="B936">
        <v>10.985915129818482</v>
      </c>
      <c r="C936">
        <v>4.3269854784011841</v>
      </c>
      <c r="D936">
        <v>12.546467432239414</v>
      </c>
      <c r="E936">
        <v>10.985915129818482</v>
      </c>
      <c r="F936">
        <v>4.3269854784011841</v>
      </c>
      <c r="G936">
        <v>12.546467432239414</v>
      </c>
      <c r="H936">
        <v>27.859368040459081</v>
      </c>
    </row>
    <row r="937" spans="1:8" x14ac:dyDescent="0.55000000000000004">
      <c r="A937">
        <v>934</v>
      </c>
      <c r="B937">
        <v>10.01103151713542</v>
      </c>
      <c r="C937">
        <v>3.82828289270401</v>
      </c>
      <c r="D937">
        <v>11.758005089276166</v>
      </c>
      <c r="E937">
        <v>10.01103151713542</v>
      </c>
      <c r="F937">
        <v>3.82828289270401</v>
      </c>
      <c r="G937">
        <v>11.758005089276166</v>
      </c>
      <c r="H937">
        <v>25.597319499115596</v>
      </c>
    </row>
    <row r="938" spans="1:8" x14ac:dyDescent="0.55000000000000004">
      <c r="A938">
        <v>935</v>
      </c>
      <c r="B938">
        <v>10.818911080255894</v>
      </c>
      <c r="C938">
        <v>2.94638991355896</v>
      </c>
      <c r="D938">
        <v>12.608567056490191</v>
      </c>
      <c r="E938">
        <v>10.818911080255894</v>
      </c>
      <c r="F938">
        <v>2.94638991355896</v>
      </c>
      <c r="G938">
        <v>12.608567056490191</v>
      </c>
      <c r="H938">
        <v>26.373868050305045</v>
      </c>
    </row>
    <row r="939" spans="1:8" x14ac:dyDescent="0.55000000000000004">
      <c r="A939">
        <v>936</v>
      </c>
      <c r="B939">
        <v>9.6692335234622409</v>
      </c>
      <c r="C939">
        <v>4.0602957606315613</v>
      </c>
      <c r="D939">
        <v>12.525627478754718</v>
      </c>
      <c r="E939">
        <v>9.6692335234622409</v>
      </c>
      <c r="F939">
        <v>4.0602957606315613</v>
      </c>
      <c r="G939">
        <v>12.525627478754718</v>
      </c>
      <c r="H939">
        <v>26.255156762848522</v>
      </c>
    </row>
    <row r="940" spans="1:8" x14ac:dyDescent="0.55000000000000004">
      <c r="A940">
        <v>937</v>
      </c>
      <c r="B940">
        <v>10.587312508011403</v>
      </c>
      <c r="C940">
        <v>3.4968618154525757</v>
      </c>
      <c r="D940">
        <v>11.008168652908438</v>
      </c>
      <c r="E940">
        <v>10.587312508011403</v>
      </c>
      <c r="F940">
        <v>3.4968618154525757</v>
      </c>
      <c r="G940">
        <v>11.008168652908438</v>
      </c>
      <c r="H940">
        <v>25.092342976372414</v>
      </c>
    </row>
    <row r="941" spans="1:8" x14ac:dyDescent="0.55000000000000004">
      <c r="A941">
        <v>938</v>
      </c>
      <c r="B941">
        <v>10.902664042945874</v>
      </c>
      <c r="C941">
        <v>4.3224323391914368</v>
      </c>
      <c r="D941">
        <v>11.574440914408237</v>
      </c>
      <c r="E941">
        <v>10.902664042945874</v>
      </c>
      <c r="F941">
        <v>4.3224323391914368</v>
      </c>
      <c r="G941">
        <v>11.574440914408237</v>
      </c>
      <c r="H941">
        <v>26.799537296545548</v>
      </c>
    </row>
    <row r="942" spans="1:8" x14ac:dyDescent="0.55000000000000004">
      <c r="A942">
        <v>939</v>
      </c>
      <c r="B942">
        <v>10.11252435182498</v>
      </c>
      <c r="C942">
        <v>4.6724700927734375</v>
      </c>
      <c r="D942">
        <v>10.357854695726463</v>
      </c>
      <c r="E942">
        <v>10.11252435182498</v>
      </c>
      <c r="F942">
        <v>4.6724700927734375</v>
      </c>
      <c r="G942">
        <v>10.357854695726463</v>
      </c>
      <c r="H942">
        <v>25.142849140324881</v>
      </c>
    </row>
    <row r="943" spans="1:8" x14ac:dyDescent="0.55000000000000004">
      <c r="A943">
        <v>940</v>
      </c>
      <c r="B943">
        <v>11.451816759088326</v>
      </c>
      <c r="C943">
        <v>2.8670195937156677</v>
      </c>
      <c r="D943">
        <v>12.7294374534067</v>
      </c>
      <c r="E943">
        <v>11.451816759088326</v>
      </c>
      <c r="F943">
        <v>2.8670195937156677</v>
      </c>
      <c r="G943">
        <v>12.7294374534067</v>
      </c>
      <c r="H943">
        <v>27.048273806210695</v>
      </c>
    </row>
    <row r="944" spans="1:8" x14ac:dyDescent="0.55000000000000004">
      <c r="A944">
        <v>941</v>
      </c>
      <c r="B944">
        <v>10.824030055521854</v>
      </c>
      <c r="C944">
        <v>2.8713241815567017</v>
      </c>
      <c r="D944">
        <v>10.967415351713218</v>
      </c>
      <c r="E944">
        <v>10.824030055521854</v>
      </c>
      <c r="F944">
        <v>2.8713241815567017</v>
      </c>
      <c r="G944">
        <v>10.967415351713218</v>
      </c>
      <c r="H944">
        <v>24.662769588791775</v>
      </c>
    </row>
    <row r="945" spans="1:8" x14ac:dyDescent="0.55000000000000004">
      <c r="A945">
        <v>942</v>
      </c>
      <c r="B945">
        <v>8.286852564263274</v>
      </c>
      <c r="C945">
        <v>4.2497902512550354</v>
      </c>
      <c r="D945">
        <v>12.084400326756027</v>
      </c>
      <c r="E945">
        <v>8.286852564263274</v>
      </c>
      <c r="F945">
        <v>4.2497902512550354</v>
      </c>
      <c r="G945">
        <v>12.084400326756027</v>
      </c>
      <c r="H945">
        <v>24.621043142274338</v>
      </c>
    </row>
    <row r="946" spans="1:8" x14ac:dyDescent="0.55000000000000004">
      <c r="A946">
        <v>943</v>
      </c>
      <c r="B946">
        <v>9.8636302219046907</v>
      </c>
      <c r="C946">
        <v>4.8620779514312744</v>
      </c>
      <c r="D946">
        <v>12.614303020916562</v>
      </c>
      <c r="E946">
        <v>9.8636302219046907</v>
      </c>
      <c r="F946">
        <v>4.8620779514312744</v>
      </c>
      <c r="G946">
        <v>12.614303020916562</v>
      </c>
      <c r="H946">
        <v>27.340011194252526</v>
      </c>
    </row>
    <row r="947" spans="1:8" x14ac:dyDescent="0.55000000000000004">
      <c r="A947">
        <v>944</v>
      </c>
      <c r="B947">
        <v>10.718934431812649</v>
      </c>
      <c r="C947">
        <v>2.834277331829071</v>
      </c>
      <c r="D947">
        <v>12.08024725239626</v>
      </c>
      <c r="E947">
        <v>10.718934431812649</v>
      </c>
      <c r="F947">
        <v>2.834277331829071</v>
      </c>
      <c r="G947">
        <v>12.08024725239626</v>
      </c>
      <c r="H947">
        <v>25.633459016037982</v>
      </c>
    </row>
    <row r="948" spans="1:8" x14ac:dyDescent="0.55000000000000004">
      <c r="A948">
        <v>945</v>
      </c>
      <c r="B948">
        <v>10.078072669423538</v>
      </c>
      <c r="C948">
        <v>3.665277361869812</v>
      </c>
      <c r="D948">
        <v>13.895705911203343</v>
      </c>
      <c r="E948">
        <v>10.078072669423538</v>
      </c>
      <c r="F948">
        <v>3.665277361869812</v>
      </c>
      <c r="G948">
        <v>13.895705911203343</v>
      </c>
      <c r="H948">
        <v>27.639055942496693</v>
      </c>
    </row>
    <row r="949" spans="1:8" x14ac:dyDescent="0.55000000000000004">
      <c r="A949">
        <v>946</v>
      </c>
      <c r="B949">
        <v>10.633861874030639</v>
      </c>
      <c r="C949">
        <v>2.4954274296760559</v>
      </c>
      <c r="D949">
        <v>11.962062680058855</v>
      </c>
      <c r="E949">
        <v>10.633861874030639</v>
      </c>
      <c r="F949">
        <v>2.4954274296760559</v>
      </c>
      <c r="G949">
        <v>11.962062680058855</v>
      </c>
      <c r="H949">
        <v>25.091351983765549</v>
      </c>
    </row>
    <row r="950" spans="1:8" x14ac:dyDescent="0.55000000000000004">
      <c r="A950">
        <v>947</v>
      </c>
      <c r="B950">
        <v>8.9348232963331551</v>
      </c>
      <c r="C950">
        <v>3.0558018684387207</v>
      </c>
      <c r="D950">
        <v>12.186339458852238</v>
      </c>
      <c r="E950">
        <v>8.9348232963331551</v>
      </c>
      <c r="F950">
        <v>3.0558018684387207</v>
      </c>
      <c r="G950">
        <v>12.186339458852238</v>
      </c>
      <c r="H950">
        <v>24.176964623624116</v>
      </c>
    </row>
    <row r="951" spans="1:8" x14ac:dyDescent="0.55000000000000004">
      <c r="A951">
        <v>948</v>
      </c>
      <c r="B951">
        <v>9.2540656489721158</v>
      </c>
      <c r="C951">
        <v>4.5536827445030212</v>
      </c>
      <c r="D951">
        <v>12.036969826249738</v>
      </c>
      <c r="E951">
        <v>9.2540656489721158</v>
      </c>
      <c r="F951">
        <v>4.5536827445030212</v>
      </c>
      <c r="G951">
        <v>12.036969826249738</v>
      </c>
      <c r="H951">
        <v>25.844718219724875</v>
      </c>
    </row>
    <row r="952" spans="1:8" x14ac:dyDescent="0.55000000000000004">
      <c r="A952">
        <v>949</v>
      </c>
      <c r="B952">
        <v>10.394253909463821</v>
      </c>
      <c r="C952">
        <v>2.8426495790481567</v>
      </c>
      <c r="D952">
        <v>12.975725634215193</v>
      </c>
      <c r="E952">
        <v>10.394253909463821</v>
      </c>
      <c r="F952">
        <v>2.8426495790481567</v>
      </c>
      <c r="G952">
        <v>12.975725634215193</v>
      </c>
      <c r="H952">
        <v>26.212629122727172</v>
      </c>
    </row>
    <row r="953" spans="1:8" x14ac:dyDescent="0.55000000000000004">
      <c r="A953">
        <v>950</v>
      </c>
      <c r="B953">
        <v>10.449391355197044</v>
      </c>
      <c r="C953">
        <v>4.7207818627357483</v>
      </c>
      <c r="D953">
        <v>13.602085658917227</v>
      </c>
      <c r="E953">
        <v>10.449391355197044</v>
      </c>
      <c r="F953">
        <v>4.7207818627357483</v>
      </c>
      <c r="G953">
        <v>13.602085658917227</v>
      </c>
      <c r="H953">
        <v>28.772258876850017</v>
      </c>
    </row>
    <row r="954" spans="1:8" x14ac:dyDescent="0.55000000000000004">
      <c r="A954">
        <v>951</v>
      </c>
      <c r="B954">
        <v>9.3145257972366764</v>
      </c>
      <c r="C954">
        <v>4.8323161602020264</v>
      </c>
      <c r="D954">
        <v>13.954243218106733</v>
      </c>
      <c r="E954">
        <v>9.3145257972366764</v>
      </c>
      <c r="F954">
        <v>4.8323161602020264</v>
      </c>
      <c r="G954">
        <v>13.954243218106733</v>
      </c>
      <c r="H954">
        <v>28.101085175545435</v>
      </c>
    </row>
    <row r="955" spans="1:8" x14ac:dyDescent="0.55000000000000004">
      <c r="A955">
        <v>952</v>
      </c>
      <c r="B955">
        <v>10.503697028850389</v>
      </c>
      <c r="C955">
        <v>4.5885292887687683</v>
      </c>
      <c r="D955">
        <v>11.47108006807793</v>
      </c>
      <c r="E955">
        <v>10.503697028850389</v>
      </c>
      <c r="F955">
        <v>4.5885292887687683</v>
      </c>
      <c r="G955">
        <v>11.47108006807793</v>
      </c>
      <c r="H955">
        <v>26.563306385697089</v>
      </c>
    </row>
    <row r="956" spans="1:8" x14ac:dyDescent="0.55000000000000004">
      <c r="A956">
        <v>953</v>
      </c>
      <c r="B956">
        <v>8.8276440504007052</v>
      </c>
      <c r="C956">
        <v>4.1320174932479858</v>
      </c>
      <c r="D956">
        <v>12.498476552225652</v>
      </c>
      <c r="E956">
        <v>8.8276440504007052</v>
      </c>
      <c r="F956">
        <v>4.1320174932479858</v>
      </c>
      <c r="G956">
        <v>12.498476552225652</v>
      </c>
      <c r="H956">
        <v>25.458138095874343</v>
      </c>
    </row>
    <row r="957" spans="1:8" x14ac:dyDescent="0.55000000000000004">
      <c r="A957">
        <v>954</v>
      </c>
      <c r="B957">
        <v>9.400575548282621</v>
      </c>
      <c r="C957">
        <v>4.9417837262153625</v>
      </c>
      <c r="D957">
        <v>14.11916512060286</v>
      </c>
      <c r="E957">
        <v>9.400575548282621</v>
      </c>
      <c r="F957">
        <v>4.9417837262153625</v>
      </c>
      <c r="G957">
        <v>14.11916512060286</v>
      </c>
      <c r="H957">
        <v>28.461524395100845</v>
      </c>
    </row>
    <row r="958" spans="1:8" x14ac:dyDescent="0.55000000000000004">
      <c r="A958">
        <v>955</v>
      </c>
      <c r="B958">
        <v>11.516095274252905</v>
      </c>
      <c r="C958">
        <v>3.1990060806274414</v>
      </c>
      <c r="D958">
        <v>12.019990438934277</v>
      </c>
      <c r="E958">
        <v>11.516095274252905</v>
      </c>
      <c r="F958">
        <v>3.1990060806274414</v>
      </c>
      <c r="G958">
        <v>12.019990438934277</v>
      </c>
      <c r="H958">
        <v>26.735091793814625</v>
      </c>
    </row>
    <row r="959" spans="1:8" x14ac:dyDescent="0.55000000000000004">
      <c r="A959">
        <v>956</v>
      </c>
      <c r="B959">
        <v>8.7629762927377115</v>
      </c>
      <c r="C959">
        <v>2.9269151091575623</v>
      </c>
      <c r="D959">
        <v>13.002343448046668</v>
      </c>
      <c r="E959">
        <v>8.7629762927377115</v>
      </c>
      <c r="F959">
        <v>2.9269151091575623</v>
      </c>
      <c r="G959">
        <v>13.002343448046668</v>
      </c>
      <c r="H959">
        <v>24.69223484994194</v>
      </c>
    </row>
    <row r="960" spans="1:8" x14ac:dyDescent="0.55000000000000004">
      <c r="A960">
        <v>957</v>
      </c>
      <c r="B960">
        <v>9.6453780812784355</v>
      </c>
      <c r="C960">
        <v>2.7922312021255493</v>
      </c>
      <c r="D960">
        <v>13.384497760441313</v>
      </c>
      <c r="E960">
        <v>9.6453780812784355</v>
      </c>
      <c r="F960">
        <v>2.7922312021255493</v>
      </c>
      <c r="G960">
        <v>13.384497760441313</v>
      </c>
      <c r="H960">
        <v>25.8221070438453</v>
      </c>
    </row>
    <row r="961" spans="1:8" x14ac:dyDescent="0.55000000000000004">
      <c r="A961">
        <v>958</v>
      </c>
      <c r="B961">
        <v>9.4139650519281428</v>
      </c>
      <c r="C961">
        <v>3.8569803833961487</v>
      </c>
      <c r="D961">
        <v>11.6497823282639</v>
      </c>
      <c r="E961">
        <v>9.4139650519281428</v>
      </c>
      <c r="F961">
        <v>3.8569803833961487</v>
      </c>
      <c r="G961">
        <v>11.6497823282639</v>
      </c>
      <c r="H961">
        <v>24.920727763588189</v>
      </c>
    </row>
    <row r="962" spans="1:8" x14ac:dyDescent="0.55000000000000004">
      <c r="A962">
        <v>959</v>
      </c>
      <c r="B962">
        <v>10.916763848504575</v>
      </c>
      <c r="C962">
        <v>2.7325928211212158</v>
      </c>
      <c r="D962">
        <v>11.963397819316004</v>
      </c>
      <c r="E962">
        <v>10.916763848504575</v>
      </c>
      <c r="F962">
        <v>2.7325928211212158</v>
      </c>
      <c r="G962">
        <v>11.963397819316004</v>
      </c>
      <c r="H962">
        <v>25.612754488941796</v>
      </c>
    </row>
    <row r="963" spans="1:8" x14ac:dyDescent="0.55000000000000004">
      <c r="A963">
        <v>960</v>
      </c>
      <c r="B963">
        <v>10.824437777690797</v>
      </c>
      <c r="C963">
        <v>2.1848680377006531</v>
      </c>
      <c r="D963">
        <v>12.467741354819333</v>
      </c>
      <c r="E963">
        <v>10.824437777690797</v>
      </c>
      <c r="F963">
        <v>2.1848680377006531</v>
      </c>
      <c r="G963">
        <v>12.467741354819333</v>
      </c>
      <c r="H963">
        <v>25.477047170210781</v>
      </c>
    </row>
    <row r="964" spans="1:8" x14ac:dyDescent="0.55000000000000004">
      <c r="A964">
        <v>961</v>
      </c>
      <c r="B964">
        <v>10.702392164546573</v>
      </c>
      <c r="C964">
        <v>4.1280392408370972</v>
      </c>
      <c r="D964">
        <v>12.807257870763173</v>
      </c>
      <c r="E964">
        <v>10.702392164546573</v>
      </c>
      <c r="F964">
        <v>4.1280392408370972</v>
      </c>
      <c r="G964">
        <v>12.807257870763173</v>
      </c>
      <c r="H964">
        <v>27.637689276146844</v>
      </c>
    </row>
    <row r="965" spans="1:8" x14ac:dyDescent="0.55000000000000004">
      <c r="A965">
        <v>962</v>
      </c>
      <c r="B965">
        <v>10.426364857312564</v>
      </c>
      <c r="C965">
        <v>3.9256613850593567</v>
      </c>
      <c r="D965">
        <v>12.646310899725165</v>
      </c>
      <c r="E965">
        <v>10.426364857312564</v>
      </c>
      <c r="F965">
        <v>3.9256613850593567</v>
      </c>
      <c r="G965">
        <v>12.646310899725165</v>
      </c>
      <c r="H965">
        <v>26.998337142097085</v>
      </c>
    </row>
    <row r="966" spans="1:8" x14ac:dyDescent="0.55000000000000004">
      <c r="A966">
        <v>963</v>
      </c>
      <c r="B966">
        <v>8.3806271484970463</v>
      </c>
      <c r="C966">
        <v>2.4697585105895996</v>
      </c>
      <c r="D966">
        <v>12.589187476479479</v>
      </c>
      <c r="E966">
        <v>8.3806271484970463</v>
      </c>
      <c r="F966">
        <v>2.4697585105895996</v>
      </c>
      <c r="G966">
        <v>12.589187476479479</v>
      </c>
      <c r="H966">
        <v>23.439573135566125</v>
      </c>
    </row>
    <row r="967" spans="1:8" x14ac:dyDescent="0.55000000000000004">
      <c r="A967">
        <v>964</v>
      </c>
      <c r="B967">
        <v>9.9862798522239018</v>
      </c>
      <c r="C967">
        <v>4.5594705939292908</v>
      </c>
      <c r="D967">
        <v>12.940073839001759</v>
      </c>
      <c r="E967">
        <v>9.9862798522239018</v>
      </c>
      <c r="F967">
        <v>4.5594705939292908</v>
      </c>
      <c r="G967">
        <v>12.940073839001759</v>
      </c>
      <c r="H967">
        <v>27.485824285154951</v>
      </c>
    </row>
    <row r="968" spans="1:8" x14ac:dyDescent="0.55000000000000004">
      <c r="A968">
        <v>965</v>
      </c>
      <c r="B968">
        <v>9.7044683535586014</v>
      </c>
      <c r="C968">
        <v>3.7557135820388794</v>
      </c>
      <c r="D968">
        <v>11.046034461257896</v>
      </c>
      <c r="E968">
        <v>9.7044683535586014</v>
      </c>
      <c r="F968">
        <v>3.7557135820388794</v>
      </c>
      <c r="G968">
        <v>11.046034461257896</v>
      </c>
      <c r="H968">
        <v>24.506216396855379</v>
      </c>
    </row>
    <row r="969" spans="1:8" x14ac:dyDescent="0.55000000000000004">
      <c r="A969">
        <v>966</v>
      </c>
      <c r="B969">
        <v>10.923962760417279</v>
      </c>
      <c r="C969">
        <v>2.1959834694862366</v>
      </c>
      <c r="D969">
        <v>13.054182370975543</v>
      </c>
      <c r="E969">
        <v>10.923962760417279</v>
      </c>
      <c r="F969">
        <v>2.1959834694862366</v>
      </c>
      <c r="G969">
        <v>13.054182370975543</v>
      </c>
      <c r="H969">
        <v>26.174128600879058</v>
      </c>
    </row>
    <row r="970" spans="1:8" x14ac:dyDescent="0.55000000000000004">
      <c r="A970">
        <v>967</v>
      </c>
      <c r="B970">
        <v>10.474517388071277</v>
      </c>
      <c r="C970">
        <v>3.5477712154388428</v>
      </c>
      <c r="D970">
        <v>12.576852394486917</v>
      </c>
      <c r="E970">
        <v>10.474517388071277</v>
      </c>
      <c r="F970">
        <v>3.5477712154388428</v>
      </c>
      <c r="G970">
        <v>12.576852394486917</v>
      </c>
      <c r="H970">
        <v>26.599140997997036</v>
      </c>
    </row>
    <row r="971" spans="1:8" x14ac:dyDescent="0.55000000000000004">
      <c r="A971">
        <v>968</v>
      </c>
      <c r="B971">
        <v>10.419003172510214</v>
      </c>
      <c r="C971">
        <v>3.5319849848747253</v>
      </c>
      <c r="D971">
        <v>12.139675798218144</v>
      </c>
      <c r="E971">
        <v>10.419003172510214</v>
      </c>
      <c r="F971">
        <v>3.5319849848747253</v>
      </c>
      <c r="G971">
        <v>12.139675798218144</v>
      </c>
      <c r="H971">
        <v>26.090663955603084</v>
      </c>
    </row>
    <row r="972" spans="1:8" x14ac:dyDescent="0.55000000000000004">
      <c r="A972">
        <v>969</v>
      </c>
      <c r="B972">
        <v>12.065235395279812</v>
      </c>
      <c r="C972">
        <v>4.618674635887146</v>
      </c>
      <c r="D972">
        <v>14.01012747790597</v>
      </c>
      <c r="E972">
        <v>12.065235395279812</v>
      </c>
      <c r="F972">
        <v>4.618674635887146</v>
      </c>
      <c r="G972">
        <v>14.01012747790597</v>
      </c>
      <c r="H972">
        <v>30.694037509072928</v>
      </c>
    </row>
    <row r="973" spans="1:8" x14ac:dyDescent="0.55000000000000004">
      <c r="A973">
        <v>970</v>
      </c>
      <c r="B973">
        <v>11.923343522838348</v>
      </c>
      <c r="C973">
        <v>4.8830955624580383</v>
      </c>
      <c r="D973">
        <v>11.811542521168011</v>
      </c>
      <c r="E973">
        <v>11.923343522838348</v>
      </c>
      <c r="F973">
        <v>4.8830955624580383</v>
      </c>
      <c r="G973">
        <v>11.811542521168011</v>
      </c>
      <c r="H973">
        <v>28.617981606464397</v>
      </c>
    </row>
    <row r="974" spans="1:8" x14ac:dyDescent="0.55000000000000004">
      <c r="A974">
        <v>971</v>
      </c>
      <c r="B974">
        <v>9.3830707518580638</v>
      </c>
      <c r="C974">
        <v>2.5951099395751953</v>
      </c>
      <c r="D974">
        <v>11.984979642528236</v>
      </c>
      <c r="E974">
        <v>9.3830707518580638</v>
      </c>
      <c r="F974">
        <v>2.5951099395751953</v>
      </c>
      <c r="G974">
        <v>11.984979642528236</v>
      </c>
      <c r="H974">
        <v>23.963160333961497</v>
      </c>
    </row>
    <row r="975" spans="1:8" x14ac:dyDescent="0.55000000000000004">
      <c r="A975">
        <v>972</v>
      </c>
      <c r="B975">
        <v>7.8959509043104461</v>
      </c>
      <c r="C975">
        <v>3.3209781050682068</v>
      </c>
      <c r="D975">
        <v>12.388438221693168</v>
      </c>
      <c r="E975">
        <v>7.8959509043104461</v>
      </c>
      <c r="F975">
        <v>3.3209781050682068</v>
      </c>
      <c r="G975">
        <v>12.388438221693168</v>
      </c>
      <c r="H975">
        <v>23.605367231071821</v>
      </c>
    </row>
    <row r="976" spans="1:8" x14ac:dyDescent="0.55000000000000004">
      <c r="A976">
        <v>973</v>
      </c>
      <c r="B976">
        <v>9.1596499246275904</v>
      </c>
      <c r="C976">
        <v>4.753116250038147</v>
      </c>
      <c r="D976">
        <v>11.363574458292096</v>
      </c>
      <c r="E976">
        <v>9.1596499246275904</v>
      </c>
      <c r="F976">
        <v>4.753116250038147</v>
      </c>
      <c r="G976">
        <v>11.363574458292096</v>
      </c>
      <c r="H976">
        <v>25.276340632957833</v>
      </c>
    </row>
    <row r="977" spans="1:8" x14ac:dyDescent="0.55000000000000004">
      <c r="A977">
        <v>974</v>
      </c>
      <c r="B977">
        <v>11.010683612376848</v>
      </c>
      <c r="C977">
        <v>3.697263777256012</v>
      </c>
      <c r="D977">
        <v>11.886809984611537</v>
      </c>
      <c r="E977">
        <v>11.010683612376848</v>
      </c>
      <c r="F977">
        <v>3.697263777256012</v>
      </c>
      <c r="G977">
        <v>11.886809984611537</v>
      </c>
      <c r="H977">
        <v>26.594757374244395</v>
      </c>
    </row>
    <row r="978" spans="1:8" x14ac:dyDescent="0.55000000000000004">
      <c r="A978">
        <v>975</v>
      </c>
      <c r="B978">
        <v>10.638688443889553</v>
      </c>
      <c r="C978">
        <v>3.8720896244049072</v>
      </c>
      <c r="D978">
        <v>12.192962387860844</v>
      </c>
      <c r="E978">
        <v>10.638688443889553</v>
      </c>
      <c r="F978">
        <v>3.8720896244049072</v>
      </c>
      <c r="G978">
        <v>12.192962387860844</v>
      </c>
      <c r="H978">
        <v>26.703740456155302</v>
      </c>
    </row>
    <row r="979" spans="1:8" x14ac:dyDescent="0.55000000000000004">
      <c r="A979">
        <v>976</v>
      </c>
      <c r="B979">
        <v>9.5845657256137322</v>
      </c>
      <c r="C979">
        <v>3.0854465365409851</v>
      </c>
      <c r="D979">
        <v>12.693373768178704</v>
      </c>
      <c r="E979">
        <v>9.5845657256137322</v>
      </c>
      <c r="F979">
        <v>3.0854465365409851</v>
      </c>
      <c r="G979">
        <v>12.693373768178704</v>
      </c>
      <c r="H979">
        <v>25.363386030333423</v>
      </c>
    </row>
    <row r="980" spans="1:8" x14ac:dyDescent="0.55000000000000004">
      <c r="A980">
        <v>977</v>
      </c>
      <c r="B980">
        <v>8.6349642275828078</v>
      </c>
      <c r="C980">
        <v>3.8036307096481323</v>
      </c>
      <c r="D980">
        <v>12.933040887556043</v>
      </c>
      <c r="E980">
        <v>8.6349642275828078</v>
      </c>
      <c r="F980">
        <v>3.8036307096481323</v>
      </c>
      <c r="G980">
        <v>12.933040887556043</v>
      </c>
      <c r="H980">
        <v>25.371635824786985</v>
      </c>
    </row>
    <row r="981" spans="1:8" x14ac:dyDescent="0.55000000000000004">
      <c r="A981">
        <v>978</v>
      </c>
      <c r="B981">
        <v>10.226625208128889</v>
      </c>
      <c r="C981">
        <v>3.9219964146614075</v>
      </c>
      <c r="D981">
        <v>12.675799458038101</v>
      </c>
      <c r="E981">
        <v>10.226625208128889</v>
      </c>
      <c r="F981">
        <v>3.9219964146614075</v>
      </c>
      <c r="G981">
        <v>12.675799458038101</v>
      </c>
      <c r="H981">
        <v>26.824421080828397</v>
      </c>
    </row>
    <row r="982" spans="1:8" x14ac:dyDescent="0.55000000000000004">
      <c r="A982">
        <v>979</v>
      </c>
      <c r="B982">
        <v>9.9917232232115989</v>
      </c>
      <c r="C982">
        <v>2.1614861488342285</v>
      </c>
      <c r="D982">
        <v>10.872620548894306</v>
      </c>
      <c r="E982">
        <v>9.9917232232115989</v>
      </c>
      <c r="F982">
        <v>2.1614861488342285</v>
      </c>
      <c r="G982">
        <v>10.872620548894306</v>
      </c>
      <c r="H982">
        <v>23.025829920940133</v>
      </c>
    </row>
    <row r="983" spans="1:8" x14ac:dyDescent="0.55000000000000004">
      <c r="A983">
        <v>980</v>
      </c>
      <c r="B983">
        <v>10.027618049883619</v>
      </c>
      <c r="C983">
        <v>2.8779415488243103</v>
      </c>
      <c r="D983">
        <v>14.423502868388184</v>
      </c>
      <c r="E983">
        <v>10.027618049883619</v>
      </c>
      <c r="F983">
        <v>2.8779415488243103</v>
      </c>
      <c r="G983">
        <v>14.423502868388184</v>
      </c>
      <c r="H983">
        <v>27.329062467096115</v>
      </c>
    </row>
    <row r="984" spans="1:8" x14ac:dyDescent="0.55000000000000004">
      <c r="A984">
        <v>981</v>
      </c>
      <c r="B984">
        <v>10.8659033703156</v>
      </c>
      <c r="C984">
        <v>4.2888337373733521</v>
      </c>
      <c r="D984">
        <v>10.742065018033921</v>
      </c>
      <c r="E984">
        <v>10.8659033703156</v>
      </c>
      <c r="F984">
        <v>4.2888337373733521</v>
      </c>
      <c r="G984">
        <v>10.742065018033921</v>
      </c>
      <c r="H984">
        <v>25.896802125722871</v>
      </c>
    </row>
    <row r="985" spans="1:8" x14ac:dyDescent="0.55000000000000004">
      <c r="A985">
        <v>982</v>
      </c>
      <c r="B985">
        <v>11.781506053687632</v>
      </c>
      <c r="C985">
        <v>2.2421689629554749</v>
      </c>
      <c r="D985">
        <v>12.583241606951351</v>
      </c>
      <c r="E985">
        <v>11.781506053687632</v>
      </c>
      <c r="F985">
        <v>2.2421689629554749</v>
      </c>
      <c r="G985">
        <v>12.583241606951351</v>
      </c>
      <c r="H985">
        <v>26.606916623594458</v>
      </c>
    </row>
    <row r="986" spans="1:8" x14ac:dyDescent="0.55000000000000004">
      <c r="A986">
        <v>983</v>
      </c>
      <c r="B986">
        <v>10.788889053511244</v>
      </c>
      <c r="C986">
        <v>2.4091613292694092</v>
      </c>
      <c r="D986">
        <v>12.637711599531491</v>
      </c>
      <c r="E986">
        <v>10.788889053511244</v>
      </c>
      <c r="F986">
        <v>2.4091613292694092</v>
      </c>
      <c r="G986">
        <v>12.637711599531491</v>
      </c>
      <c r="H986">
        <v>25.835761982312142</v>
      </c>
    </row>
    <row r="987" spans="1:8" x14ac:dyDescent="0.55000000000000004">
      <c r="A987">
        <v>984</v>
      </c>
      <c r="B987">
        <v>10.924050224774609</v>
      </c>
      <c r="C987">
        <v>4.3476940989494324</v>
      </c>
      <c r="D987">
        <v>11.598552200810987</v>
      </c>
      <c r="E987">
        <v>10.924050224774609</v>
      </c>
      <c r="F987">
        <v>4.3476940989494324</v>
      </c>
      <c r="G987">
        <v>11.598552200810987</v>
      </c>
      <c r="H987">
        <v>26.870296524535028</v>
      </c>
    </row>
    <row r="988" spans="1:8" x14ac:dyDescent="0.55000000000000004">
      <c r="A988">
        <v>985</v>
      </c>
      <c r="B988">
        <v>10.362242164994047</v>
      </c>
      <c r="C988">
        <v>4.6169894933700562</v>
      </c>
      <c r="D988">
        <v>12.339986494087864</v>
      </c>
      <c r="E988">
        <v>10.362242164994047</v>
      </c>
      <c r="F988">
        <v>4.6169894933700562</v>
      </c>
      <c r="G988">
        <v>12.339986494087864</v>
      </c>
      <c r="H988">
        <v>27.319218152451967</v>
      </c>
    </row>
    <row r="989" spans="1:8" x14ac:dyDescent="0.55000000000000004">
      <c r="A989">
        <v>986</v>
      </c>
      <c r="B989">
        <v>10.630684068450959</v>
      </c>
      <c r="C989">
        <v>4.3221490979194641</v>
      </c>
      <c r="D989">
        <v>11.918424035631086</v>
      </c>
      <c r="E989">
        <v>10.630684068450959</v>
      </c>
      <c r="F989">
        <v>4.3221490979194641</v>
      </c>
      <c r="G989">
        <v>11.918424035631086</v>
      </c>
      <c r="H989">
        <v>26.871257202001509</v>
      </c>
    </row>
    <row r="990" spans="1:8" x14ac:dyDescent="0.55000000000000004">
      <c r="A990">
        <v>987</v>
      </c>
      <c r="B990">
        <v>9.449694436472214</v>
      </c>
      <c r="C990">
        <v>4.1146879196166992</v>
      </c>
      <c r="D990">
        <v>12.256692870391914</v>
      </c>
      <c r="E990">
        <v>9.449694436472214</v>
      </c>
      <c r="F990">
        <v>4.1146879196166992</v>
      </c>
      <c r="G990">
        <v>12.256692870391914</v>
      </c>
      <c r="H990">
        <v>25.821075226480829</v>
      </c>
    </row>
    <row r="991" spans="1:8" x14ac:dyDescent="0.55000000000000004">
      <c r="A991">
        <v>988</v>
      </c>
      <c r="B991">
        <v>10.027918174199867</v>
      </c>
      <c r="C991">
        <v>3.1937398314476013</v>
      </c>
      <c r="D991">
        <v>13.510522677230206</v>
      </c>
      <c r="E991">
        <v>10.027918174199867</v>
      </c>
      <c r="F991">
        <v>3.1937398314476013</v>
      </c>
      <c r="G991">
        <v>13.510522677230206</v>
      </c>
      <c r="H991">
        <v>26.732180682877676</v>
      </c>
    </row>
    <row r="992" spans="1:8" x14ac:dyDescent="0.55000000000000004">
      <c r="A992">
        <v>989</v>
      </c>
      <c r="B992">
        <v>9.207866531489131</v>
      </c>
      <c r="C992">
        <v>4.8516355752944946</v>
      </c>
      <c r="D992">
        <v>12.571892973329351</v>
      </c>
      <c r="E992">
        <v>9.207866531489131</v>
      </c>
      <c r="F992">
        <v>4.8516355752944946</v>
      </c>
      <c r="G992">
        <v>12.571892973329351</v>
      </c>
      <c r="H992">
        <v>26.631395080112977</v>
      </c>
    </row>
    <row r="993" spans="1:8" x14ac:dyDescent="0.55000000000000004">
      <c r="A993">
        <v>990</v>
      </c>
      <c r="B993">
        <v>9.6814439441549176</v>
      </c>
      <c r="C993">
        <v>4.1339216828346252</v>
      </c>
      <c r="D993">
        <v>14.422094850845159</v>
      </c>
      <c r="E993">
        <v>9.6814439441549176</v>
      </c>
      <c r="F993">
        <v>4.1339216828346252</v>
      </c>
      <c r="G993">
        <v>14.422094850845159</v>
      </c>
      <c r="H993">
        <v>28.237460477834702</v>
      </c>
    </row>
    <row r="994" spans="1:8" x14ac:dyDescent="0.55000000000000004">
      <c r="A994">
        <v>991</v>
      </c>
      <c r="B994">
        <v>7.6226761369562031</v>
      </c>
      <c r="C994">
        <v>4.4719746112823486</v>
      </c>
      <c r="D994">
        <v>14.426010644762204</v>
      </c>
      <c r="E994">
        <v>7.6226761369562031</v>
      </c>
      <c r="F994">
        <v>4.4719746112823486</v>
      </c>
      <c r="G994">
        <v>14.426010644762204</v>
      </c>
      <c r="H994">
        <v>26.520661393000758</v>
      </c>
    </row>
    <row r="995" spans="1:8" x14ac:dyDescent="0.55000000000000004">
      <c r="A995">
        <v>992</v>
      </c>
      <c r="B995">
        <v>10.158961523345557</v>
      </c>
      <c r="C995">
        <v>3.3680440783500671</v>
      </c>
      <c r="D995">
        <v>11.497498572321803</v>
      </c>
      <c r="E995">
        <v>10.158961523345557</v>
      </c>
      <c r="F995">
        <v>3.3680440783500671</v>
      </c>
      <c r="G995">
        <v>11.497498572321803</v>
      </c>
      <c r="H995">
        <v>25.024504174017427</v>
      </c>
    </row>
    <row r="996" spans="1:8" x14ac:dyDescent="0.55000000000000004">
      <c r="A996">
        <v>993</v>
      </c>
      <c r="B996">
        <v>12.013582023759868</v>
      </c>
      <c r="C996">
        <v>4.2272080183029175</v>
      </c>
      <c r="D996">
        <v>12.32219026700805</v>
      </c>
      <c r="E996">
        <v>12.013582023759868</v>
      </c>
      <c r="F996">
        <v>4.2272080183029175</v>
      </c>
      <c r="G996">
        <v>12.32219026700805</v>
      </c>
      <c r="H996">
        <v>28.562980309070834</v>
      </c>
    </row>
    <row r="997" spans="1:8" x14ac:dyDescent="0.55000000000000004">
      <c r="A997">
        <v>994</v>
      </c>
      <c r="B997">
        <v>11.748641421236426</v>
      </c>
      <c r="C997">
        <v>3.0352137684822083</v>
      </c>
      <c r="D997">
        <v>10.424577323314494</v>
      </c>
      <c r="E997">
        <v>11.748641421236426</v>
      </c>
      <c r="F997">
        <v>3.0352137684822083</v>
      </c>
      <c r="G997">
        <v>10.424577323314494</v>
      </c>
      <c r="H997">
        <v>25.208432513033131</v>
      </c>
    </row>
    <row r="998" spans="1:8" x14ac:dyDescent="0.55000000000000004">
      <c r="A998">
        <v>995</v>
      </c>
      <c r="B998">
        <v>9.6053087611285335</v>
      </c>
      <c r="C998">
        <v>2.2598910331726074</v>
      </c>
      <c r="D998">
        <v>12.303914222519049</v>
      </c>
      <c r="E998">
        <v>9.6053087611285335</v>
      </c>
      <c r="F998">
        <v>2.2598910331726074</v>
      </c>
      <c r="G998">
        <v>12.303914222519049</v>
      </c>
      <c r="H998">
        <v>24.169114016820188</v>
      </c>
    </row>
    <row r="999" spans="1:8" x14ac:dyDescent="0.55000000000000004">
      <c r="A999">
        <v>996</v>
      </c>
      <c r="B999">
        <v>10.699218435432231</v>
      </c>
      <c r="C999">
        <v>2.0286268591880798</v>
      </c>
      <c r="D999">
        <v>12.500814928315712</v>
      </c>
      <c r="E999">
        <v>10.699218435432231</v>
      </c>
      <c r="F999">
        <v>2.0286268591880798</v>
      </c>
      <c r="G999">
        <v>12.500814928315712</v>
      </c>
      <c r="H999">
        <v>25.228660222936021</v>
      </c>
    </row>
    <row r="1000" spans="1:8" x14ac:dyDescent="0.55000000000000004">
      <c r="A1000">
        <v>997</v>
      </c>
      <c r="B1000">
        <v>11.639549381916916</v>
      </c>
      <c r="C1000">
        <v>2.4146662950515747</v>
      </c>
      <c r="D1000">
        <v>11.106148069610381</v>
      </c>
      <c r="E1000">
        <v>11.639549381916916</v>
      </c>
      <c r="F1000">
        <v>2.4146662950515747</v>
      </c>
      <c r="G1000">
        <v>11.106148069610381</v>
      </c>
      <c r="H1000">
        <v>25.160363746578874</v>
      </c>
    </row>
    <row r="1001" spans="1:8" x14ac:dyDescent="0.55000000000000004">
      <c r="A1001">
        <v>998</v>
      </c>
      <c r="B1001">
        <v>9.6312523092884526</v>
      </c>
      <c r="C1001">
        <v>2.5976195931434631</v>
      </c>
      <c r="D1001">
        <v>11.941103138277979</v>
      </c>
      <c r="E1001">
        <v>9.6312523092884526</v>
      </c>
      <c r="F1001">
        <v>2.5976195931434631</v>
      </c>
      <c r="G1001">
        <v>11.941103138277979</v>
      </c>
      <c r="H1001">
        <v>24.169975040709893</v>
      </c>
    </row>
    <row r="1002" spans="1:8" x14ac:dyDescent="0.55000000000000004">
      <c r="A1002">
        <v>999</v>
      </c>
      <c r="B1002">
        <v>9.9687807348294175</v>
      </c>
      <c r="C1002">
        <v>2.4828927516937256</v>
      </c>
      <c r="D1002">
        <v>11.414864539210122</v>
      </c>
      <c r="E1002">
        <v>9.9687807348294175</v>
      </c>
      <c r="F1002">
        <v>2.4828927516937256</v>
      </c>
      <c r="G1002">
        <v>11.414864539210122</v>
      </c>
      <c r="H1002">
        <v>23.866538025733263</v>
      </c>
    </row>
    <row r="1003" spans="1:8" x14ac:dyDescent="0.55000000000000004">
      <c r="A1003">
        <v>1000</v>
      </c>
      <c r="B1003">
        <v>11.816616494538769</v>
      </c>
      <c r="C1003">
        <v>2.2426878809928894</v>
      </c>
      <c r="D1003">
        <v>13.350127532859196</v>
      </c>
      <c r="E1003">
        <v>11.816616494538769</v>
      </c>
      <c r="F1003">
        <v>2.2426878809928894</v>
      </c>
      <c r="G1003">
        <v>13.350127532859196</v>
      </c>
      <c r="H1003">
        <v>27.409431908390854</v>
      </c>
    </row>
  </sheetData>
  <mergeCells count="3">
    <mergeCell ref="B1:D1"/>
    <mergeCell ref="E1:H1"/>
    <mergeCell ref="I1:M1"/>
  </mergeCell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span" xr2:uid="{905034CF-C82C-4BF3-BC95-156ABEAD470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'Risk Results 1'!B4:B4</xm:f>
              <xm:sqref>C4</xm:sqref>
            </x14:sparkline>
            <x14:sparkline>
              <xm:f>'Risk Results 1'!B5:B5</xm:f>
              <xm:sqref>C5</xm:sqref>
            </x14:sparkline>
            <x14:sparkline>
              <xm:f>'Risk Results 1'!B6:B6</xm:f>
              <xm:sqref>C6</xm:sqref>
            </x14:sparkline>
            <x14:sparkline>
              <xm:f>'Risk Results 1'!B7:B7</xm:f>
              <xm:sqref>C7</xm:sqref>
            </x14:sparkline>
            <x14:sparkline>
              <xm:f>'Risk Results 1'!B8:B8</xm:f>
              <xm:sqref>C8</xm:sqref>
            </x14:sparkline>
            <x14:sparkline>
              <xm:f>'Risk Results 1'!B9:B9</xm:f>
              <xm:sqref>C9</xm:sqref>
            </x14:sparkline>
            <x14:sparkline>
              <xm:f>'Risk Results 1'!B10:B10</xm:f>
              <xm:sqref>C10</xm:sqref>
            </x14:sparkline>
            <x14:sparkline>
              <xm:f>'Risk Results 1'!B11:B11</xm:f>
              <xm:sqref>C11</xm:sqref>
            </x14:sparkline>
            <x14:sparkline>
              <xm:f>'Risk Results 1'!B12:B12</xm:f>
              <xm:sqref>C12</xm:sqref>
            </x14:sparkline>
            <x14:sparkline>
              <xm:f>'Risk Results 1'!B13:B13</xm:f>
              <xm:sqref>C13</xm:sqref>
            </x14:sparkline>
            <x14:sparkline>
              <xm:f>'Risk Results 1'!B14:B14</xm:f>
              <xm:sqref>C14</xm:sqref>
            </x14:sparkline>
            <x14:sparkline>
              <xm:f>'Risk Results 1'!B15:B15</xm:f>
              <xm:sqref>C15</xm:sqref>
            </x14:sparkline>
            <x14:sparkline>
              <xm:f>'Risk Results 1'!B16:B16</xm:f>
              <xm:sqref>C16</xm:sqref>
            </x14:sparkline>
            <x14:sparkline>
              <xm:f>'Risk Results 1'!B17:B17</xm:f>
              <xm:sqref>C17</xm:sqref>
            </x14:sparkline>
            <x14:sparkline>
              <xm:f>'Risk Results 1'!B18:B18</xm:f>
              <xm:sqref>C18</xm:sqref>
            </x14:sparkline>
            <x14:sparkline>
              <xm:f>'Risk Results 1'!B19:B19</xm:f>
              <xm:sqref>C19</xm:sqref>
            </x14:sparkline>
            <x14:sparkline>
              <xm:f>'Risk Results 1'!B20:B20</xm:f>
              <xm:sqref>C20</xm:sqref>
            </x14:sparkline>
            <x14:sparkline>
              <xm:f>'Risk Results 1'!B21:B21</xm:f>
              <xm:sqref>C21</xm:sqref>
            </x14:sparkline>
            <x14:sparkline>
              <xm:f>'Risk Results 1'!B22:B22</xm:f>
              <xm:sqref>C22</xm:sqref>
            </x14:sparkline>
            <x14:sparkline>
              <xm:f>'Risk Results 1'!B23:B23</xm:f>
              <xm:sqref>C23</xm:sqref>
            </x14:sparkline>
            <x14:sparkline>
              <xm:f>'Risk Results 1'!B24:B24</xm:f>
              <xm:sqref>C24</xm:sqref>
            </x14:sparkline>
            <x14:sparkline>
              <xm:f>'Risk Results 1'!B25:B25</xm:f>
              <xm:sqref>C25</xm:sqref>
            </x14:sparkline>
            <x14:sparkline>
              <xm:f>'Risk Results 1'!B26:B26</xm:f>
              <xm:sqref>C26</xm:sqref>
            </x14:sparkline>
            <x14:sparkline>
              <xm:f>'Risk Results 1'!B27:B27</xm:f>
              <xm:sqref>C27</xm:sqref>
            </x14:sparkline>
            <x14:sparkline>
              <xm:f>'Risk Results 1'!B28:B28</xm:f>
              <xm:sqref>C28</xm:sqref>
            </x14:sparkline>
            <x14:sparkline>
              <xm:f>'Risk Results 1'!B29:B29</xm:f>
              <xm:sqref>C29</xm:sqref>
            </x14:sparkline>
            <x14:sparkline>
              <xm:f>'Risk Results 1'!B30:B30</xm:f>
              <xm:sqref>C30</xm:sqref>
            </x14:sparkline>
            <x14:sparkline>
              <xm:f>'Risk Results 1'!B31:B31</xm:f>
              <xm:sqref>C31</xm:sqref>
            </x14:sparkline>
            <x14:sparkline>
              <xm:f>'Risk Results 1'!B32:B32</xm:f>
              <xm:sqref>C32</xm:sqref>
            </x14:sparkline>
            <x14:sparkline>
              <xm:f>'Risk Results 1'!B33:B33</xm:f>
              <xm:sqref>C33</xm:sqref>
            </x14:sparkline>
            <x14:sparkline>
              <xm:f>'Risk Results 1'!B34:B34</xm:f>
              <xm:sqref>C34</xm:sqref>
            </x14:sparkline>
            <x14:sparkline>
              <xm:f>'Risk Results 1'!B35:B35</xm:f>
              <xm:sqref>C35</xm:sqref>
            </x14:sparkline>
            <x14:sparkline>
              <xm:f>'Risk Results 1'!B36:B36</xm:f>
              <xm:sqref>C36</xm:sqref>
            </x14:sparkline>
            <x14:sparkline>
              <xm:f>'Risk Results 1'!B37:B37</xm:f>
              <xm:sqref>C37</xm:sqref>
            </x14:sparkline>
            <x14:sparkline>
              <xm:f>'Risk Results 1'!B38:B38</xm:f>
              <xm:sqref>C38</xm:sqref>
            </x14:sparkline>
            <x14:sparkline>
              <xm:f>'Risk Results 1'!B39:B39</xm:f>
              <xm:sqref>C39</xm:sqref>
            </x14:sparkline>
            <x14:sparkline>
              <xm:f>'Risk Results 1'!B40:B40</xm:f>
              <xm:sqref>C40</xm:sqref>
            </x14:sparkline>
            <x14:sparkline>
              <xm:f>'Risk Results 1'!B41:B41</xm:f>
              <xm:sqref>C41</xm:sqref>
            </x14:sparkline>
            <x14:sparkline>
              <xm:f>'Risk Results 1'!B42:B42</xm:f>
              <xm:sqref>C42</xm:sqref>
            </x14:sparkline>
            <x14:sparkline>
              <xm:f>'Risk Results 1'!B43:B43</xm:f>
              <xm:sqref>C43</xm:sqref>
            </x14:sparkline>
            <x14:sparkline>
              <xm:f>'Risk Results 1'!B44:B44</xm:f>
              <xm:sqref>C44</xm:sqref>
            </x14:sparkline>
            <x14:sparkline>
              <xm:f>'Risk Results 1'!B45:B45</xm:f>
              <xm:sqref>C45</xm:sqref>
            </x14:sparkline>
            <x14:sparkline>
              <xm:f>'Risk Results 1'!B46:B46</xm:f>
              <xm:sqref>C46</xm:sqref>
            </x14:sparkline>
            <x14:sparkline>
              <xm:f>'Risk Results 1'!B47:B47</xm:f>
              <xm:sqref>C47</xm:sqref>
            </x14:sparkline>
            <x14:sparkline>
              <xm:f>'Risk Results 1'!B48:B48</xm:f>
              <xm:sqref>C48</xm:sqref>
            </x14:sparkline>
            <x14:sparkline>
              <xm:f>'Risk Results 1'!B49:B49</xm:f>
              <xm:sqref>C49</xm:sqref>
            </x14:sparkline>
            <x14:sparkline>
              <xm:f>'Risk Results 1'!B50:B50</xm:f>
              <xm:sqref>C50</xm:sqref>
            </x14:sparkline>
            <x14:sparkline>
              <xm:f>'Risk Results 1'!B51:B51</xm:f>
              <xm:sqref>C51</xm:sqref>
            </x14:sparkline>
            <x14:sparkline>
              <xm:f>'Risk Results 1'!B52:B52</xm:f>
              <xm:sqref>C52</xm:sqref>
            </x14:sparkline>
            <x14:sparkline>
              <xm:f>'Risk Results 1'!B53:B53</xm:f>
              <xm:sqref>C53</xm:sqref>
            </x14:sparkline>
            <x14:sparkline>
              <xm:f>'Risk Results 1'!B54:B54</xm:f>
              <xm:sqref>C54</xm:sqref>
            </x14:sparkline>
            <x14:sparkline>
              <xm:f>'Risk Results 1'!B55:B55</xm:f>
              <xm:sqref>C55</xm:sqref>
            </x14:sparkline>
            <x14:sparkline>
              <xm:f>'Risk Results 1'!B56:B56</xm:f>
              <xm:sqref>C56</xm:sqref>
            </x14:sparkline>
            <x14:sparkline>
              <xm:f>'Risk Results 1'!B57:B57</xm:f>
              <xm:sqref>C57</xm:sqref>
            </x14:sparkline>
            <x14:sparkline>
              <xm:f>'Risk Results 1'!B58:B58</xm:f>
              <xm:sqref>C58</xm:sqref>
            </x14:sparkline>
            <x14:sparkline>
              <xm:f>'Risk Results 1'!B59:B59</xm:f>
              <xm:sqref>C59</xm:sqref>
            </x14:sparkline>
            <x14:sparkline>
              <xm:f>'Risk Results 1'!B60:B60</xm:f>
              <xm:sqref>C60</xm:sqref>
            </x14:sparkline>
            <x14:sparkline>
              <xm:f>'Risk Results 1'!B61:B61</xm:f>
              <xm:sqref>C61</xm:sqref>
            </x14:sparkline>
            <x14:sparkline>
              <xm:f>'Risk Results 1'!B62:B62</xm:f>
              <xm:sqref>C62</xm:sqref>
            </x14:sparkline>
            <x14:sparkline>
              <xm:f>'Risk Results 1'!B63:B63</xm:f>
              <xm:sqref>C63</xm:sqref>
            </x14:sparkline>
            <x14:sparkline>
              <xm:f>'Risk Results 1'!B64:B64</xm:f>
              <xm:sqref>C64</xm:sqref>
            </x14:sparkline>
            <x14:sparkline>
              <xm:f>'Risk Results 1'!B65:B65</xm:f>
              <xm:sqref>C65</xm:sqref>
            </x14:sparkline>
            <x14:sparkline>
              <xm:f>'Risk Results 1'!B66:B66</xm:f>
              <xm:sqref>C66</xm:sqref>
            </x14:sparkline>
            <x14:sparkline>
              <xm:f>'Risk Results 1'!B67:B67</xm:f>
              <xm:sqref>C67</xm:sqref>
            </x14:sparkline>
            <x14:sparkline>
              <xm:f>'Risk Results 1'!B68:B68</xm:f>
              <xm:sqref>C68</xm:sqref>
            </x14:sparkline>
            <x14:sparkline>
              <xm:f>'Risk Results 1'!B69:B69</xm:f>
              <xm:sqref>C69</xm:sqref>
            </x14:sparkline>
            <x14:sparkline>
              <xm:f>'Risk Results 1'!B70:B70</xm:f>
              <xm:sqref>C70</xm:sqref>
            </x14:sparkline>
            <x14:sparkline>
              <xm:f>'Risk Results 1'!B71:B71</xm:f>
              <xm:sqref>C71</xm:sqref>
            </x14:sparkline>
            <x14:sparkline>
              <xm:f>'Risk Results 1'!B72:B72</xm:f>
              <xm:sqref>C72</xm:sqref>
            </x14:sparkline>
            <x14:sparkline>
              <xm:f>'Risk Results 1'!B73:B73</xm:f>
              <xm:sqref>C73</xm:sqref>
            </x14:sparkline>
            <x14:sparkline>
              <xm:f>'Risk Results 1'!B74:B74</xm:f>
              <xm:sqref>C74</xm:sqref>
            </x14:sparkline>
            <x14:sparkline>
              <xm:f>'Risk Results 1'!B75:B75</xm:f>
              <xm:sqref>C75</xm:sqref>
            </x14:sparkline>
            <x14:sparkline>
              <xm:f>'Risk Results 1'!B76:B76</xm:f>
              <xm:sqref>C76</xm:sqref>
            </x14:sparkline>
            <x14:sparkline>
              <xm:f>'Risk Results 1'!B77:B77</xm:f>
              <xm:sqref>C77</xm:sqref>
            </x14:sparkline>
            <x14:sparkline>
              <xm:f>'Risk Results 1'!B78:B78</xm:f>
              <xm:sqref>C78</xm:sqref>
            </x14:sparkline>
            <x14:sparkline>
              <xm:f>'Risk Results 1'!B79:B79</xm:f>
              <xm:sqref>C79</xm:sqref>
            </x14:sparkline>
            <x14:sparkline>
              <xm:f>'Risk Results 1'!B80:B80</xm:f>
              <xm:sqref>C80</xm:sqref>
            </x14:sparkline>
            <x14:sparkline>
              <xm:f>'Risk Results 1'!B81:B81</xm:f>
              <xm:sqref>C81</xm:sqref>
            </x14:sparkline>
            <x14:sparkline>
              <xm:f>'Risk Results 1'!B82:B82</xm:f>
              <xm:sqref>C82</xm:sqref>
            </x14:sparkline>
            <x14:sparkline>
              <xm:f>'Risk Results 1'!B83:B83</xm:f>
              <xm:sqref>C83</xm:sqref>
            </x14:sparkline>
            <x14:sparkline>
              <xm:f>'Risk Results 1'!B84:B84</xm:f>
              <xm:sqref>C84</xm:sqref>
            </x14:sparkline>
            <x14:sparkline>
              <xm:f>'Risk Results 1'!B85:B85</xm:f>
              <xm:sqref>C85</xm:sqref>
            </x14:sparkline>
            <x14:sparkline>
              <xm:f>'Risk Results 1'!B86:B86</xm:f>
              <xm:sqref>C86</xm:sqref>
            </x14:sparkline>
            <x14:sparkline>
              <xm:f>'Risk Results 1'!B87:B87</xm:f>
              <xm:sqref>C87</xm:sqref>
            </x14:sparkline>
            <x14:sparkline>
              <xm:f>'Risk Results 1'!B88:B88</xm:f>
              <xm:sqref>C88</xm:sqref>
            </x14:sparkline>
            <x14:sparkline>
              <xm:f>'Risk Results 1'!B89:B89</xm:f>
              <xm:sqref>C89</xm:sqref>
            </x14:sparkline>
            <x14:sparkline>
              <xm:f>'Risk Results 1'!B90:B90</xm:f>
              <xm:sqref>C90</xm:sqref>
            </x14:sparkline>
            <x14:sparkline>
              <xm:f>'Risk Results 1'!B91:B91</xm:f>
              <xm:sqref>C91</xm:sqref>
            </x14:sparkline>
            <x14:sparkline>
              <xm:f>'Risk Results 1'!B92:B92</xm:f>
              <xm:sqref>C92</xm:sqref>
            </x14:sparkline>
            <x14:sparkline>
              <xm:f>'Risk Results 1'!B93:B93</xm:f>
              <xm:sqref>C93</xm:sqref>
            </x14:sparkline>
            <x14:sparkline>
              <xm:f>'Risk Results 1'!B94:B94</xm:f>
              <xm:sqref>C94</xm:sqref>
            </x14:sparkline>
            <x14:sparkline>
              <xm:f>'Risk Results 1'!B95:B95</xm:f>
              <xm:sqref>C95</xm:sqref>
            </x14:sparkline>
            <x14:sparkline>
              <xm:f>'Risk Results 1'!B96:B96</xm:f>
              <xm:sqref>C96</xm:sqref>
            </x14:sparkline>
            <x14:sparkline>
              <xm:f>'Risk Results 1'!B97:B97</xm:f>
              <xm:sqref>C97</xm:sqref>
            </x14:sparkline>
            <x14:sparkline>
              <xm:f>'Risk Results 1'!B98:B98</xm:f>
              <xm:sqref>C98</xm:sqref>
            </x14:sparkline>
            <x14:sparkline>
              <xm:f>'Risk Results 1'!B99:B99</xm:f>
              <xm:sqref>C99</xm:sqref>
            </x14:sparkline>
            <x14:sparkline>
              <xm:f>'Risk Results 1'!B100:B100</xm:f>
              <xm:sqref>C100</xm:sqref>
            </x14:sparkline>
            <x14:sparkline>
              <xm:f>'Risk Results 1'!B101:B101</xm:f>
              <xm:sqref>C101</xm:sqref>
            </x14:sparkline>
            <x14:sparkline>
              <xm:f>'Risk Results 1'!B102:B102</xm:f>
              <xm:sqref>C102</xm:sqref>
            </x14:sparkline>
            <x14:sparkline>
              <xm:f>'Risk Results 1'!B103:B103</xm:f>
              <xm:sqref>C103</xm:sqref>
            </x14:sparkline>
            <x14:sparkline>
              <xm:f>'Risk Results 1'!B104:B104</xm:f>
              <xm:sqref>C104</xm:sqref>
            </x14:sparkline>
            <x14:sparkline>
              <xm:f>'Risk Results 1'!B105:B105</xm:f>
              <xm:sqref>C105</xm:sqref>
            </x14:sparkline>
            <x14:sparkline>
              <xm:f>'Risk Results 1'!B106:B106</xm:f>
              <xm:sqref>C106</xm:sqref>
            </x14:sparkline>
            <x14:sparkline>
              <xm:f>'Risk Results 1'!B107:B107</xm:f>
              <xm:sqref>C107</xm:sqref>
            </x14:sparkline>
            <x14:sparkline>
              <xm:f>'Risk Results 1'!B108:B108</xm:f>
              <xm:sqref>C108</xm:sqref>
            </x14:sparkline>
            <x14:sparkline>
              <xm:f>'Risk Results 1'!B109:B109</xm:f>
              <xm:sqref>C109</xm:sqref>
            </x14:sparkline>
            <x14:sparkline>
              <xm:f>'Risk Results 1'!B110:B110</xm:f>
              <xm:sqref>C110</xm:sqref>
            </x14:sparkline>
            <x14:sparkline>
              <xm:f>'Risk Results 1'!B111:B111</xm:f>
              <xm:sqref>C111</xm:sqref>
            </x14:sparkline>
            <x14:sparkline>
              <xm:f>'Risk Results 1'!B112:B112</xm:f>
              <xm:sqref>C112</xm:sqref>
            </x14:sparkline>
            <x14:sparkline>
              <xm:f>'Risk Results 1'!B113:B113</xm:f>
              <xm:sqref>C113</xm:sqref>
            </x14:sparkline>
            <x14:sparkline>
              <xm:f>'Risk Results 1'!B114:B114</xm:f>
              <xm:sqref>C114</xm:sqref>
            </x14:sparkline>
            <x14:sparkline>
              <xm:f>'Risk Results 1'!B115:B115</xm:f>
              <xm:sqref>C115</xm:sqref>
            </x14:sparkline>
            <x14:sparkline>
              <xm:f>'Risk Results 1'!B116:B116</xm:f>
              <xm:sqref>C116</xm:sqref>
            </x14:sparkline>
            <x14:sparkline>
              <xm:f>'Risk Results 1'!B117:B117</xm:f>
              <xm:sqref>C117</xm:sqref>
            </x14:sparkline>
            <x14:sparkline>
              <xm:f>'Risk Results 1'!B118:B118</xm:f>
              <xm:sqref>C118</xm:sqref>
            </x14:sparkline>
            <x14:sparkline>
              <xm:f>'Risk Results 1'!B119:B119</xm:f>
              <xm:sqref>C119</xm:sqref>
            </x14:sparkline>
            <x14:sparkline>
              <xm:f>'Risk Results 1'!B120:B120</xm:f>
              <xm:sqref>C120</xm:sqref>
            </x14:sparkline>
            <x14:sparkline>
              <xm:f>'Risk Results 1'!B121:B121</xm:f>
              <xm:sqref>C121</xm:sqref>
            </x14:sparkline>
            <x14:sparkline>
              <xm:f>'Risk Results 1'!B122:B122</xm:f>
              <xm:sqref>C122</xm:sqref>
            </x14:sparkline>
            <x14:sparkline>
              <xm:f>'Risk Results 1'!B123:B123</xm:f>
              <xm:sqref>C123</xm:sqref>
            </x14:sparkline>
            <x14:sparkline>
              <xm:f>'Risk Results 1'!B124:B124</xm:f>
              <xm:sqref>C124</xm:sqref>
            </x14:sparkline>
            <x14:sparkline>
              <xm:f>'Risk Results 1'!B125:B125</xm:f>
              <xm:sqref>C125</xm:sqref>
            </x14:sparkline>
            <x14:sparkline>
              <xm:f>'Risk Results 1'!B126:B126</xm:f>
              <xm:sqref>C126</xm:sqref>
            </x14:sparkline>
            <x14:sparkline>
              <xm:f>'Risk Results 1'!B127:B127</xm:f>
              <xm:sqref>C127</xm:sqref>
            </x14:sparkline>
            <x14:sparkline>
              <xm:f>'Risk Results 1'!B128:B128</xm:f>
              <xm:sqref>C128</xm:sqref>
            </x14:sparkline>
            <x14:sparkline>
              <xm:f>'Risk Results 1'!B129:B129</xm:f>
              <xm:sqref>C129</xm:sqref>
            </x14:sparkline>
            <x14:sparkline>
              <xm:f>'Risk Results 1'!B130:B130</xm:f>
              <xm:sqref>C130</xm:sqref>
            </x14:sparkline>
            <x14:sparkline>
              <xm:f>'Risk Results 1'!B131:B131</xm:f>
              <xm:sqref>C131</xm:sqref>
            </x14:sparkline>
            <x14:sparkline>
              <xm:f>'Risk Results 1'!B132:B132</xm:f>
              <xm:sqref>C132</xm:sqref>
            </x14:sparkline>
            <x14:sparkline>
              <xm:f>'Risk Results 1'!B133:B133</xm:f>
              <xm:sqref>C133</xm:sqref>
            </x14:sparkline>
            <x14:sparkline>
              <xm:f>'Risk Results 1'!B134:B134</xm:f>
              <xm:sqref>C134</xm:sqref>
            </x14:sparkline>
            <x14:sparkline>
              <xm:f>'Risk Results 1'!B135:B135</xm:f>
              <xm:sqref>C135</xm:sqref>
            </x14:sparkline>
            <x14:sparkline>
              <xm:f>'Risk Results 1'!B136:B136</xm:f>
              <xm:sqref>C136</xm:sqref>
            </x14:sparkline>
            <x14:sparkline>
              <xm:f>'Risk Results 1'!B137:B137</xm:f>
              <xm:sqref>C137</xm:sqref>
            </x14:sparkline>
            <x14:sparkline>
              <xm:f>'Risk Results 1'!B138:B138</xm:f>
              <xm:sqref>C138</xm:sqref>
            </x14:sparkline>
            <x14:sparkline>
              <xm:f>'Risk Results 1'!B139:B139</xm:f>
              <xm:sqref>C139</xm:sqref>
            </x14:sparkline>
            <x14:sparkline>
              <xm:f>'Risk Results 1'!B140:B140</xm:f>
              <xm:sqref>C140</xm:sqref>
            </x14:sparkline>
            <x14:sparkline>
              <xm:f>'Risk Results 1'!B141:B141</xm:f>
              <xm:sqref>C141</xm:sqref>
            </x14:sparkline>
            <x14:sparkline>
              <xm:f>'Risk Results 1'!B142:B142</xm:f>
              <xm:sqref>C142</xm:sqref>
            </x14:sparkline>
            <x14:sparkline>
              <xm:f>'Risk Results 1'!B143:B143</xm:f>
              <xm:sqref>C143</xm:sqref>
            </x14:sparkline>
            <x14:sparkline>
              <xm:f>'Risk Results 1'!B144:B144</xm:f>
              <xm:sqref>C144</xm:sqref>
            </x14:sparkline>
            <x14:sparkline>
              <xm:f>'Risk Results 1'!B145:B145</xm:f>
              <xm:sqref>C145</xm:sqref>
            </x14:sparkline>
            <x14:sparkline>
              <xm:f>'Risk Results 1'!B146:B146</xm:f>
              <xm:sqref>C146</xm:sqref>
            </x14:sparkline>
            <x14:sparkline>
              <xm:f>'Risk Results 1'!B147:B147</xm:f>
              <xm:sqref>C147</xm:sqref>
            </x14:sparkline>
            <x14:sparkline>
              <xm:f>'Risk Results 1'!B148:B148</xm:f>
              <xm:sqref>C148</xm:sqref>
            </x14:sparkline>
            <x14:sparkline>
              <xm:f>'Risk Results 1'!B149:B149</xm:f>
              <xm:sqref>C149</xm:sqref>
            </x14:sparkline>
            <x14:sparkline>
              <xm:f>'Risk Results 1'!B150:B150</xm:f>
              <xm:sqref>C150</xm:sqref>
            </x14:sparkline>
            <x14:sparkline>
              <xm:f>'Risk Results 1'!B151:B151</xm:f>
              <xm:sqref>C151</xm:sqref>
            </x14:sparkline>
            <x14:sparkline>
              <xm:f>'Risk Results 1'!B152:B152</xm:f>
              <xm:sqref>C152</xm:sqref>
            </x14:sparkline>
            <x14:sparkline>
              <xm:f>'Risk Results 1'!B153:B153</xm:f>
              <xm:sqref>C153</xm:sqref>
            </x14:sparkline>
            <x14:sparkline>
              <xm:f>'Risk Results 1'!B154:B154</xm:f>
              <xm:sqref>C154</xm:sqref>
            </x14:sparkline>
            <x14:sparkline>
              <xm:f>'Risk Results 1'!B155:B155</xm:f>
              <xm:sqref>C155</xm:sqref>
            </x14:sparkline>
            <x14:sparkline>
              <xm:f>'Risk Results 1'!B156:B156</xm:f>
              <xm:sqref>C156</xm:sqref>
            </x14:sparkline>
            <x14:sparkline>
              <xm:f>'Risk Results 1'!B157:B157</xm:f>
              <xm:sqref>C157</xm:sqref>
            </x14:sparkline>
            <x14:sparkline>
              <xm:f>'Risk Results 1'!B158:B158</xm:f>
              <xm:sqref>C158</xm:sqref>
            </x14:sparkline>
            <x14:sparkline>
              <xm:f>'Risk Results 1'!B159:B159</xm:f>
              <xm:sqref>C159</xm:sqref>
            </x14:sparkline>
            <x14:sparkline>
              <xm:f>'Risk Results 1'!B160:B160</xm:f>
              <xm:sqref>C160</xm:sqref>
            </x14:sparkline>
            <x14:sparkline>
              <xm:f>'Risk Results 1'!B161:B161</xm:f>
              <xm:sqref>C161</xm:sqref>
            </x14:sparkline>
            <x14:sparkline>
              <xm:f>'Risk Results 1'!B162:B162</xm:f>
              <xm:sqref>C162</xm:sqref>
            </x14:sparkline>
            <x14:sparkline>
              <xm:f>'Risk Results 1'!B163:B163</xm:f>
              <xm:sqref>C163</xm:sqref>
            </x14:sparkline>
            <x14:sparkline>
              <xm:f>'Risk Results 1'!B164:B164</xm:f>
              <xm:sqref>C164</xm:sqref>
            </x14:sparkline>
            <x14:sparkline>
              <xm:f>'Risk Results 1'!B165:B165</xm:f>
              <xm:sqref>C165</xm:sqref>
            </x14:sparkline>
            <x14:sparkline>
              <xm:f>'Risk Results 1'!B166:B166</xm:f>
              <xm:sqref>C166</xm:sqref>
            </x14:sparkline>
            <x14:sparkline>
              <xm:f>'Risk Results 1'!B167:B167</xm:f>
              <xm:sqref>C167</xm:sqref>
            </x14:sparkline>
            <x14:sparkline>
              <xm:f>'Risk Results 1'!B168:B168</xm:f>
              <xm:sqref>C168</xm:sqref>
            </x14:sparkline>
            <x14:sparkline>
              <xm:f>'Risk Results 1'!B169:B169</xm:f>
              <xm:sqref>C169</xm:sqref>
            </x14:sparkline>
            <x14:sparkline>
              <xm:f>'Risk Results 1'!B170:B170</xm:f>
              <xm:sqref>C170</xm:sqref>
            </x14:sparkline>
            <x14:sparkline>
              <xm:f>'Risk Results 1'!B171:B171</xm:f>
              <xm:sqref>C171</xm:sqref>
            </x14:sparkline>
            <x14:sparkline>
              <xm:f>'Risk Results 1'!B172:B172</xm:f>
              <xm:sqref>C172</xm:sqref>
            </x14:sparkline>
            <x14:sparkline>
              <xm:f>'Risk Results 1'!B173:B173</xm:f>
              <xm:sqref>C173</xm:sqref>
            </x14:sparkline>
            <x14:sparkline>
              <xm:f>'Risk Results 1'!B174:B174</xm:f>
              <xm:sqref>C174</xm:sqref>
            </x14:sparkline>
            <x14:sparkline>
              <xm:f>'Risk Results 1'!B175:B175</xm:f>
              <xm:sqref>C175</xm:sqref>
            </x14:sparkline>
            <x14:sparkline>
              <xm:f>'Risk Results 1'!B176:B176</xm:f>
              <xm:sqref>C176</xm:sqref>
            </x14:sparkline>
            <x14:sparkline>
              <xm:f>'Risk Results 1'!B177:B177</xm:f>
              <xm:sqref>C177</xm:sqref>
            </x14:sparkline>
            <x14:sparkline>
              <xm:f>'Risk Results 1'!B178:B178</xm:f>
              <xm:sqref>C178</xm:sqref>
            </x14:sparkline>
            <x14:sparkline>
              <xm:f>'Risk Results 1'!B179:B179</xm:f>
              <xm:sqref>C179</xm:sqref>
            </x14:sparkline>
            <x14:sparkline>
              <xm:f>'Risk Results 1'!B180:B180</xm:f>
              <xm:sqref>C180</xm:sqref>
            </x14:sparkline>
            <x14:sparkline>
              <xm:f>'Risk Results 1'!B181:B181</xm:f>
              <xm:sqref>C181</xm:sqref>
            </x14:sparkline>
            <x14:sparkline>
              <xm:f>'Risk Results 1'!B182:B182</xm:f>
              <xm:sqref>C182</xm:sqref>
            </x14:sparkline>
            <x14:sparkline>
              <xm:f>'Risk Results 1'!B183:B183</xm:f>
              <xm:sqref>C183</xm:sqref>
            </x14:sparkline>
            <x14:sparkline>
              <xm:f>'Risk Results 1'!B184:B184</xm:f>
              <xm:sqref>C184</xm:sqref>
            </x14:sparkline>
            <x14:sparkline>
              <xm:f>'Risk Results 1'!B185:B185</xm:f>
              <xm:sqref>C185</xm:sqref>
            </x14:sparkline>
            <x14:sparkline>
              <xm:f>'Risk Results 1'!B186:B186</xm:f>
              <xm:sqref>C186</xm:sqref>
            </x14:sparkline>
            <x14:sparkline>
              <xm:f>'Risk Results 1'!B187:B187</xm:f>
              <xm:sqref>C187</xm:sqref>
            </x14:sparkline>
            <x14:sparkline>
              <xm:f>'Risk Results 1'!B188:B188</xm:f>
              <xm:sqref>C188</xm:sqref>
            </x14:sparkline>
            <x14:sparkline>
              <xm:f>'Risk Results 1'!B189:B189</xm:f>
              <xm:sqref>C189</xm:sqref>
            </x14:sparkline>
            <x14:sparkline>
              <xm:f>'Risk Results 1'!B190:B190</xm:f>
              <xm:sqref>C190</xm:sqref>
            </x14:sparkline>
            <x14:sparkline>
              <xm:f>'Risk Results 1'!B191:B191</xm:f>
              <xm:sqref>C191</xm:sqref>
            </x14:sparkline>
            <x14:sparkline>
              <xm:f>'Risk Results 1'!B192:B192</xm:f>
              <xm:sqref>C192</xm:sqref>
            </x14:sparkline>
            <x14:sparkline>
              <xm:f>'Risk Results 1'!B193:B193</xm:f>
              <xm:sqref>C193</xm:sqref>
            </x14:sparkline>
            <x14:sparkline>
              <xm:f>'Risk Results 1'!B194:B194</xm:f>
              <xm:sqref>C194</xm:sqref>
            </x14:sparkline>
            <x14:sparkline>
              <xm:f>'Risk Results 1'!B195:B195</xm:f>
              <xm:sqref>C195</xm:sqref>
            </x14:sparkline>
            <x14:sparkline>
              <xm:f>'Risk Results 1'!B196:B196</xm:f>
              <xm:sqref>C196</xm:sqref>
            </x14:sparkline>
            <x14:sparkline>
              <xm:f>'Risk Results 1'!B197:B197</xm:f>
              <xm:sqref>C197</xm:sqref>
            </x14:sparkline>
            <x14:sparkline>
              <xm:f>'Risk Results 1'!B198:B198</xm:f>
              <xm:sqref>C198</xm:sqref>
            </x14:sparkline>
            <x14:sparkline>
              <xm:f>'Risk Results 1'!B199:B199</xm:f>
              <xm:sqref>C199</xm:sqref>
            </x14:sparkline>
            <x14:sparkline>
              <xm:f>'Risk Results 1'!B200:B200</xm:f>
              <xm:sqref>C200</xm:sqref>
            </x14:sparkline>
            <x14:sparkline>
              <xm:f>'Risk Results 1'!B201:B201</xm:f>
              <xm:sqref>C201</xm:sqref>
            </x14:sparkline>
            <x14:sparkline>
              <xm:f>'Risk Results 1'!B202:B202</xm:f>
              <xm:sqref>C202</xm:sqref>
            </x14:sparkline>
            <x14:sparkline>
              <xm:f>'Risk Results 1'!B203:B203</xm:f>
              <xm:sqref>C203</xm:sqref>
            </x14:sparkline>
            <x14:sparkline>
              <xm:f>'Risk Results 1'!B204:B204</xm:f>
              <xm:sqref>C204</xm:sqref>
            </x14:sparkline>
            <x14:sparkline>
              <xm:f>'Risk Results 1'!B205:B205</xm:f>
              <xm:sqref>C205</xm:sqref>
            </x14:sparkline>
            <x14:sparkline>
              <xm:f>'Risk Results 1'!B206:B206</xm:f>
              <xm:sqref>C206</xm:sqref>
            </x14:sparkline>
            <x14:sparkline>
              <xm:f>'Risk Results 1'!B207:B207</xm:f>
              <xm:sqref>C207</xm:sqref>
            </x14:sparkline>
            <x14:sparkline>
              <xm:f>'Risk Results 1'!B208:B208</xm:f>
              <xm:sqref>C208</xm:sqref>
            </x14:sparkline>
            <x14:sparkline>
              <xm:f>'Risk Results 1'!B209:B209</xm:f>
              <xm:sqref>C209</xm:sqref>
            </x14:sparkline>
            <x14:sparkline>
              <xm:f>'Risk Results 1'!B210:B210</xm:f>
              <xm:sqref>C210</xm:sqref>
            </x14:sparkline>
            <x14:sparkline>
              <xm:f>'Risk Results 1'!B211:B211</xm:f>
              <xm:sqref>C211</xm:sqref>
            </x14:sparkline>
            <x14:sparkline>
              <xm:f>'Risk Results 1'!B212:B212</xm:f>
              <xm:sqref>C212</xm:sqref>
            </x14:sparkline>
            <x14:sparkline>
              <xm:f>'Risk Results 1'!B213:B213</xm:f>
              <xm:sqref>C213</xm:sqref>
            </x14:sparkline>
            <x14:sparkline>
              <xm:f>'Risk Results 1'!B214:B214</xm:f>
              <xm:sqref>C214</xm:sqref>
            </x14:sparkline>
            <x14:sparkline>
              <xm:f>'Risk Results 1'!B215:B215</xm:f>
              <xm:sqref>C215</xm:sqref>
            </x14:sparkline>
            <x14:sparkline>
              <xm:f>'Risk Results 1'!B216:B216</xm:f>
              <xm:sqref>C216</xm:sqref>
            </x14:sparkline>
            <x14:sparkline>
              <xm:f>'Risk Results 1'!B217:B217</xm:f>
              <xm:sqref>C217</xm:sqref>
            </x14:sparkline>
            <x14:sparkline>
              <xm:f>'Risk Results 1'!B218:B218</xm:f>
              <xm:sqref>C218</xm:sqref>
            </x14:sparkline>
            <x14:sparkline>
              <xm:f>'Risk Results 1'!B219:B219</xm:f>
              <xm:sqref>C219</xm:sqref>
            </x14:sparkline>
            <x14:sparkline>
              <xm:f>'Risk Results 1'!B220:B220</xm:f>
              <xm:sqref>C220</xm:sqref>
            </x14:sparkline>
            <x14:sparkline>
              <xm:f>'Risk Results 1'!B221:B221</xm:f>
              <xm:sqref>C221</xm:sqref>
            </x14:sparkline>
            <x14:sparkline>
              <xm:f>'Risk Results 1'!B222:B222</xm:f>
              <xm:sqref>C222</xm:sqref>
            </x14:sparkline>
            <x14:sparkline>
              <xm:f>'Risk Results 1'!B223:B223</xm:f>
              <xm:sqref>C223</xm:sqref>
            </x14:sparkline>
            <x14:sparkline>
              <xm:f>'Risk Results 1'!B224:B224</xm:f>
              <xm:sqref>C224</xm:sqref>
            </x14:sparkline>
            <x14:sparkline>
              <xm:f>'Risk Results 1'!B225:B225</xm:f>
              <xm:sqref>C225</xm:sqref>
            </x14:sparkline>
            <x14:sparkline>
              <xm:f>'Risk Results 1'!B226:B226</xm:f>
              <xm:sqref>C226</xm:sqref>
            </x14:sparkline>
            <x14:sparkline>
              <xm:f>'Risk Results 1'!B227:B227</xm:f>
              <xm:sqref>C227</xm:sqref>
            </x14:sparkline>
            <x14:sparkline>
              <xm:f>'Risk Results 1'!B228:B228</xm:f>
              <xm:sqref>C228</xm:sqref>
            </x14:sparkline>
            <x14:sparkline>
              <xm:f>'Risk Results 1'!B229:B229</xm:f>
              <xm:sqref>C229</xm:sqref>
            </x14:sparkline>
            <x14:sparkline>
              <xm:f>'Risk Results 1'!B230:B230</xm:f>
              <xm:sqref>C230</xm:sqref>
            </x14:sparkline>
            <x14:sparkline>
              <xm:f>'Risk Results 1'!B231:B231</xm:f>
              <xm:sqref>C231</xm:sqref>
            </x14:sparkline>
            <x14:sparkline>
              <xm:f>'Risk Results 1'!B232:B232</xm:f>
              <xm:sqref>C232</xm:sqref>
            </x14:sparkline>
            <x14:sparkline>
              <xm:f>'Risk Results 1'!B233:B233</xm:f>
              <xm:sqref>C233</xm:sqref>
            </x14:sparkline>
            <x14:sparkline>
              <xm:f>'Risk Results 1'!B234:B234</xm:f>
              <xm:sqref>C234</xm:sqref>
            </x14:sparkline>
            <x14:sparkline>
              <xm:f>'Risk Results 1'!B235:B235</xm:f>
              <xm:sqref>C235</xm:sqref>
            </x14:sparkline>
            <x14:sparkline>
              <xm:f>'Risk Results 1'!B236:B236</xm:f>
              <xm:sqref>C236</xm:sqref>
            </x14:sparkline>
            <x14:sparkline>
              <xm:f>'Risk Results 1'!B237:B237</xm:f>
              <xm:sqref>C237</xm:sqref>
            </x14:sparkline>
            <x14:sparkline>
              <xm:f>'Risk Results 1'!B238:B238</xm:f>
              <xm:sqref>C238</xm:sqref>
            </x14:sparkline>
            <x14:sparkline>
              <xm:f>'Risk Results 1'!B239:B239</xm:f>
              <xm:sqref>C239</xm:sqref>
            </x14:sparkline>
            <x14:sparkline>
              <xm:f>'Risk Results 1'!B240:B240</xm:f>
              <xm:sqref>C240</xm:sqref>
            </x14:sparkline>
            <x14:sparkline>
              <xm:f>'Risk Results 1'!B241:B241</xm:f>
              <xm:sqref>C241</xm:sqref>
            </x14:sparkline>
            <x14:sparkline>
              <xm:f>'Risk Results 1'!B242:B242</xm:f>
              <xm:sqref>C242</xm:sqref>
            </x14:sparkline>
            <x14:sparkline>
              <xm:f>'Risk Results 1'!B243:B243</xm:f>
              <xm:sqref>C243</xm:sqref>
            </x14:sparkline>
            <x14:sparkline>
              <xm:f>'Risk Results 1'!B244:B244</xm:f>
              <xm:sqref>C244</xm:sqref>
            </x14:sparkline>
            <x14:sparkline>
              <xm:f>'Risk Results 1'!B245:B245</xm:f>
              <xm:sqref>C245</xm:sqref>
            </x14:sparkline>
            <x14:sparkline>
              <xm:f>'Risk Results 1'!B246:B246</xm:f>
              <xm:sqref>C246</xm:sqref>
            </x14:sparkline>
            <x14:sparkline>
              <xm:f>'Risk Results 1'!B247:B247</xm:f>
              <xm:sqref>C247</xm:sqref>
            </x14:sparkline>
            <x14:sparkline>
              <xm:f>'Risk Results 1'!B248:B248</xm:f>
              <xm:sqref>C248</xm:sqref>
            </x14:sparkline>
            <x14:sparkline>
              <xm:f>'Risk Results 1'!B249:B249</xm:f>
              <xm:sqref>C249</xm:sqref>
            </x14:sparkline>
            <x14:sparkline>
              <xm:f>'Risk Results 1'!B250:B250</xm:f>
              <xm:sqref>C250</xm:sqref>
            </x14:sparkline>
            <x14:sparkline>
              <xm:f>'Risk Results 1'!B251:B251</xm:f>
              <xm:sqref>C251</xm:sqref>
            </x14:sparkline>
            <x14:sparkline>
              <xm:f>'Risk Results 1'!B252:B252</xm:f>
              <xm:sqref>C252</xm:sqref>
            </x14:sparkline>
            <x14:sparkline>
              <xm:f>'Risk Results 1'!B253:B253</xm:f>
              <xm:sqref>C253</xm:sqref>
            </x14:sparkline>
            <x14:sparkline>
              <xm:f>'Risk Results 1'!B254:B254</xm:f>
              <xm:sqref>C254</xm:sqref>
            </x14:sparkline>
            <x14:sparkline>
              <xm:f>'Risk Results 1'!B255:B255</xm:f>
              <xm:sqref>C255</xm:sqref>
            </x14:sparkline>
            <x14:sparkline>
              <xm:f>'Risk Results 1'!B256:B256</xm:f>
              <xm:sqref>C256</xm:sqref>
            </x14:sparkline>
            <x14:sparkline>
              <xm:f>'Risk Results 1'!B257:B257</xm:f>
              <xm:sqref>C257</xm:sqref>
            </x14:sparkline>
            <x14:sparkline>
              <xm:f>'Risk Results 1'!B258:B258</xm:f>
              <xm:sqref>C258</xm:sqref>
            </x14:sparkline>
            <x14:sparkline>
              <xm:f>'Risk Results 1'!B259:B259</xm:f>
              <xm:sqref>C259</xm:sqref>
            </x14:sparkline>
            <x14:sparkline>
              <xm:f>'Risk Results 1'!B260:B260</xm:f>
              <xm:sqref>C260</xm:sqref>
            </x14:sparkline>
            <x14:sparkline>
              <xm:f>'Risk Results 1'!B261:B261</xm:f>
              <xm:sqref>C261</xm:sqref>
            </x14:sparkline>
            <x14:sparkline>
              <xm:f>'Risk Results 1'!B262:B262</xm:f>
              <xm:sqref>C262</xm:sqref>
            </x14:sparkline>
            <x14:sparkline>
              <xm:f>'Risk Results 1'!B263:B263</xm:f>
              <xm:sqref>C263</xm:sqref>
            </x14:sparkline>
            <x14:sparkline>
              <xm:f>'Risk Results 1'!B264:B264</xm:f>
              <xm:sqref>C264</xm:sqref>
            </x14:sparkline>
            <x14:sparkline>
              <xm:f>'Risk Results 1'!B265:B265</xm:f>
              <xm:sqref>C265</xm:sqref>
            </x14:sparkline>
            <x14:sparkline>
              <xm:f>'Risk Results 1'!B266:B266</xm:f>
              <xm:sqref>C266</xm:sqref>
            </x14:sparkline>
            <x14:sparkline>
              <xm:f>'Risk Results 1'!B267:B267</xm:f>
              <xm:sqref>C267</xm:sqref>
            </x14:sparkline>
            <x14:sparkline>
              <xm:f>'Risk Results 1'!B268:B268</xm:f>
              <xm:sqref>C268</xm:sqref>
            </x14:sparkline>
            <x14:sparkline>
              <xm:f>'Risk Results 1'!B269:B269</xm:f>
              <xm:sqref>C269</xm:sqref>
            </x14:sparkline>
            <x14:sparkline>
              <xm:f>'Risk Results 1'!B270:B270</xm:f>
              <xm:sqref>C270</xm:sqref>
            </x14:sparkline>
            <x14:sparkline>
              <xm:f>'Risk Results 1'!B271:B271</xm:f>
              <xm:sqref>C271</xm:sqref>
            </x14:sparkline>
            <x14:sparkline>
              <xm:f>'Risk Results 1'!B272:B272</xm:f>
              <xm:sqref>C272</xm:sqref>
            </x14:sparkline>
            <x14:sparkline>
              <xm:f>'Risk Results 1'!B273:B273</xm:f>
              <xm:sqref>C273</xm:sqref>
            </x14:sparkline>
            <x14:sparkline>
              <xm:f>'Risk Results 1'!B274:B274</xm:f>
              <xm:sqref>C274</xm:sqref>
            </x14:sparkline>
            <x14:sparkline>
              <xm:f>'Risk Results 1'!B275:B275</xm:f>
              <xm:sqref>C275</xm:sqref>
            </x14:sparkline>
            <x14:sparkline>
              <xm:f>'Risk Results 1'!B276:B276</xm:f>
              <xm:sqref>C276</xm:sqref>
            </x14:sparkline>
            <x14:sparkline>
              <xm:f>'Risk Results 1'!B277:B277</xm:f>
              <xm:sqref>C277</xm:sqref>
            </x14:sparkline>
            <x14:sparkline>
              <xm:f>'Risk Results 1'!B278:B278</xm:f>
              <xm:sqref>C278</xm:sqref>
            </x14:sparkline>
            <x14:sparkline>
              <xm:f>'Risk Results 1'!B279:B279</xm:f>
              <xm:sqref>C279</xm:sqref>
            </x14:sparkline>
            <x14:sparkline>
              <xm:f>'Risk Results 1'!B280:B280</xm:f>
              <xm:sqref>C280</xm:sqref>
            </x14:sparkline>
            <x14:sparkline>
              <xm:f>'Risk Results 1'!B281:B281</xm:f>
              <xm:sqref>C281</xm:sqref>
            </x14:sparkline>
            <x14:sparkline>
              <xm:f>'Risk Results 1'!B282:B282</xm:f>
              <xm:sqref>C282</xm:sqref>
            </x14:sparkline>
            <x14:sparkline>
              <xm:f>'Risk Results 1'!B283:B283</xm:f>
              <xm:sqref>C283</xm:sqref>
            </x14:sparkline>
            <x14:sparkline>
              <xm:f>'Risk Results 1'!B284:B284</xm:f>
              <xm:sqref>C284</xm:sqref>
            </x14:sparkline>
            <x14:sparkline>
              <xm:f>'Risk Results 1'!B285:B285</xm:f>
              <xm:sqref>C285</xm:sqref>
            </x14:sparkline>
            <x14:sparkline>
              <xm:f>'Risk Results 1'!B286:B286</xm:f>
              <xm:sqref>C286</xm:sqref>
            </x14:sparkline>
            <x14:sparkline>
              <xm:f>'Risk Results 1'!B287:B287</xm:f>
              <xm:sqref>C287</xm:sqref>
            </x14:sparkline>
            <x14:sparkline>
              <xm:f>'Risk Results 1'!B288:B288</xm:f>
              <xm:sqref>C288</xm:sqref>
            </x14:sparkline>
            <x14:sparkline>
              <xm:f>'Risk Results 1'!B289:B289</xm:f>
              <xm:sqref>C289</xm:sqref>
            </x14:sparkline>
            <x14:sparkline>
              <xm:f>'Risk Results 1'!B290:B290</xm:f>
              <xm:sqref>C290</xm:sqref>
            </x14:sparkline>
            <x14:sparkline>
              <xm:f>'Risk Results 1'!B291:B291</xm:f>
              <xm:sqref>C291</xm:sqref>
            </x14:sparkline>
            <x14:sparkline>
              <xm:f>'Risk Results 1'!B292:B292</xm:f>
              <xm:sqref>C292</xm:sqref>
            </x14:sparkline>
            <x14:sparkline>
              <xm:f>'Risk Results 1'!B293:B293</xm:f>
              <xm:sqref>C293</xm:sqref>
            </x14:sparkline>
            <x14:sparkline>
              <xm:f>'Risk Results 1'!B294:B294</xm:f>
              <xm:sqref>C294</xm:sqref>
            </x14:sparkline>
            <x14:sparkline>
              <xm:f>'Risk Results 1'!B295:B295</xm:f>
              <xm:sqref>C295</xm:sqref>
            </x14:sparkline>
            <x14:sparkline>
              <xm:f>'Risk Results 1'!B296:B296</xm:f>
              <xm:sqref>C296</xm:sqref>
            </x14:sparkline>
            <x14:sparkline>
              <xm:f>'Risk Results 1'!B297:B297</xm:f>
              <xm:sqref>C297</xm:sqref>
            </x14:sparkline>
            <x14:sparkline>
              <xm:f>'Risk Results 1'!B298:B298</xm:f>
              <xm:sqref>C298</xm:sqref>
            </x14:sparkline>
            <x14:sparkline>
              <xm:f>'Risk Results 1'!B299:B299</xm:f>
              <xm:sqref>C299</xm:sqref>
            </x14:sparkline>
            <x14:sparkline>
              <xm:f>'Risk Results 1'!B300:B300</xm:f>
              <xm:sqref>C300</xm:sqref>
            </x14:sparkline>
            <x14:sparkline>
              <xm:f>'Risk Results 1'!B301:B301</xm:f>
              <xm:sqref>C301</xm:sqref>
            </x14:sparkline>
            <x14:sparkline>
              <xm:f>'Risk Results 1'!B302:B302</xm:f>
              <xm:sqref>C302</xm:sqref>
            </x14:sparkline>
            <x14:sparkline>
              <xm:f>'Risk Results 1'!B303:B303</xm:f>
              <xm:sqref>C303</xm:sqref>
            </x14:sparkline>
            <x14:sparkline>
              <xm:f>'Risk Results 1'!B304:B304</xm:f>
              <xm:sqref>C304</xm:sqref>
            </x14:sparkline>
            <x14:sparkline>
              <xm:f>'Risk Results 1'!B305:B305</xm:f>
              <xm:sqref>C305</xm:sqref>
            </x14:sparkline>
            <x14:sparkline>
              <xm:f>'Risk Results 1'!B306:B306</xm:f>
              <xm:sqref>C306</xm:sqref>
            </x14:sparkline>
            <x14:sparkline>
              <xm:f>'Risk Results 1'!B307:B307</xm:f>
              <xm:sqref>C307</xm:sqref>
            </x14:sparkline>
            <x14:sparkline>
              <xm:f>'Risk Results 1'!B308:B308</xm:f>
              <xm:sqref>C308</xm:sqref>
            </x14:sparkline>
            <x14:sparkline>
              <xm:f>'Risk Results 1'!B309:B309</xm:f>
              <xm:sqref>C309</xm:sqref>
            </x14:sparkline>
            <x14:sparkline>
              <xm:f>'Risk Results 1'!B310:B310</xm:f>
              <xm:sqref>C310</xm:sqref>
            </x14:sparkline>
            <x14:sparkline>
              <xm:f>'Risk Results 1'!B311:B311</xm:f>
              <xm:sqref>C311</xm:sqref>
            </x14:sparkline>
            <x14:sparkline>
              <xm:f>'Risk Results 1'!B312:B312</xm:f>
              <xm:sqref>C312</xm:sqref>
            </x14:sparkline>
            <x14:sparkline>
              <xm:f>'Risk Results 1'!B313:B313</xm:f>
              <xm:sqref>C313</xm:sqref>
            </x14:sparkline>
            <x14:sparkline>
              <xm:f>'Risk Results 1'!B314:B314</xm:f>
              <xm:sqref>C314</xm:sqref>
            </x14:sparkline>
            <x14:sparkline>
              <xm:f>'Risk Results 1'!B315:B315</xm:f>
              <xm:sqref>C315</xm:sqref>
            </x14:sparkline>
            <x14:sparkline>
              <xm:f>'Risk Results 1'!B316:B316</xm:f>
              <xm:sqref>C316</xm:sqref>
            </x14:sparkline>
            <x14:sparkline>
              <xm:f>'Risk Results 1'!B317:B317</xm:f>
              <xm:sqref>C317</xm:sqref>
            </x14:sparkline>
            <x14:sparkline>
              <xm:f>'Risk Results 1'!B318:B318</xm:f>
              <xm:sqref>C318</xm:sqref>
            </x14:sparkline>
            <x14:sparkline>
              <xm:f>'Risk Results 1'!B319:B319</xm:f>
              <xm:sqref>C319</xm:sqref>
            </x14:sparkline>
            <x14:sparkline>
              <xm:f>'Risk Results 1'!B320:B320</xm:f>
              <xm:sqref>C320</xm:sqref>
            </x14:sparkline>
            <x14:sparkline>
              <xm:f>'Risk Results 1'!B321:B321</xm:f>
              <xm:sqref>C321</xm:sqref>
            </x14:sparkline>
            <x14:sparkline>
              <xm:f>'Risk Results 1'!B322:B322</xm:f>
              <xm:sqref>C322</xm:sqref>
            </x14:sparkline>
            <x14:sparkline>
              <xm:f>'Risk Results 1'!B323:B323</xm:f>
              <xm:sqref>C323</xm:sqref>
            </x14:sparkline>
            <x14:sparkline>
              <xm:f>'Risk Results 1'!B324:B324</xm:f>
              <xm:sqref>C324</xm:sqref>
            </x14:sparkline>
            <x14:sparkline>
              <xm:f>'Risk Results 1'!B325:B325</xm:f>
              <xm:sqref>C325</xm:sqref>
            </x14:sparkline>
            <x14:sparkline>
              <xm:f>'Risk Results 1'!B326:B326</xm:f>
              <xm:sqref>C326</xm:sqref>
            </x14:sparkline>
            <x14:sparkline>
              <xm:f>'Risk Results 1'!B327:B327</xm:f>
              <xm:sqref>C327</xm:sqref>
            </x14:sparkline>
            <x14:sparkline>
              <xm:f>'Risk Results 1'!B328:B328</xm:f>
              <xm:sqref>C328</xm:sqref>
            </x14:sparkline>
            <x14:sparkline>
              <xm:f>'Risk Results 1'!B329:B329</xm:f>
              <xm:sqref>C329</xm:sqref>
            </x14:sparkline>
            <x14:sparkline>
              <xm:f>'Risk Results 1'!B330:B330</xm:f>
              <xm:sqref>C330</xm:sqref>
            </x14:sparkline>
            <x14:sparkline>
              <xm:f>'Risk Results 1'!B331:B331</xm:f>
              <xm:sqref>C331</xm:sqref>
            </x14:sparkline>
            <x14:sparkline>
              <xm:f>'Risk Results 1'!B332:B332</xm:f>
              <xm:sqref>C332</xm:sqref>
            </x14:sparkline>
            <x14:sparkline>
              <xm:f>'Risk Results 1'!B333:B333</xm:f>
              <xm:sqref>C333</xm:sqref>
            </x14:sparkline>
            <x14:sparkline>
              <xm:f>'Risk Results 1'!B334:B334</xm:f>
              <xm:sqref>C334</xm:sqref>
            </x14:sparkline>
            <x14:sparkline>
              <xm:f>'Risk Results 1'!B335:B335</xm:f>
              <xm:sqref>C335</xm:sqref>
            </x14:sparkline>
            <x14:sparkline>
              <xm:f>'Risk Results 1'!B336:B336</xm:f>
              <xm:sqref>C336</xm:sqref>
            </x14:sparkline>
            <x14:sparkline>
              <xm:f>'Risk Results 1'!B337:B337</xm:f>
              <xm:sqref>C337</xm:sqref>
            </x14:sparkline>
            <x14:sparkline>
              <xm:f>'Risk Results 1'!B338:B338</xm:f>
              <xm:sqref>C338</xm:sqref>
            </x14:sparkline>
            <x14:sparkline>
              <xm:f>'Risk Results 1'!B339:B339</xm:f>
              <xm:sqref>C339</xm:sqref>
            </x14:sparkline>
            <x14:sparkline>
              <xm:f>'Risk Results 1'!B340:B340</xm:f>
              <xm:sqref>C340</xm:sqref>
            </x14:sparkline>
            <x14:sparkline>
              <xm:f>'Risk Results 1'!B341:B341</xm:f>
              <xm:sqref>C341</xm:sqref>
            </x14:sparkline>
            <x14:sparkline>
              <xm:f>'Risk Results 1'!B342:B342</xm:f>
              <xm:sqref>C342</xm:sqref>
            </x14:sparkline>
            <x14:sparkline>
              <xm:f>'Risk Results 1'!B343:B343</xm:f>
              <xm:sqref>C343</xm:sqref>
            </x14:sparkline>
            <x14:sparkline>
              <xm:f>'Risk Results 1'!B344:B344</xm:f>
              <xm:sqref>C344</xm:sqref>
            </x14:sparkline>
            <x14:sparkline>
              <xm:f>'Risk Results 1'!B345:B345</xm:f>
              <xm:sqref>C345</xm:sqref>
            </x14:sparkline>
            <x14:sparkline>
              <xm:f>'Risk Results 1'!B346:B346</xm:f>
              <xm:sqref>C346</xm:sqref>
            </x14:sparkline>
            <x14:sparkline>
              <xm:f>'Risk Results 1'!B347:B347</xm:f>
              <xm:sqref>C347</xm:sqref>
            </x14:sparkline>
            <x14:sparkline>
              <xm:f>'Risk Results 1'!B348:B348</xm:f>
              <xm:sqref>C348</xm:sqref>
            </x14:sparkline>
            <x14:sparkline>
              <xm:f>'Risk Results 1'!B349:B349</xm:f>
              <xm:sqref>C349</xm:sqref>
            </x14:sparkline>
            <x14:sparkline>
              <xm:f>'Risk Results 1'!B350:B350</xm:f>
              <xm:sqref>C350</xm:sqref>
            </x14:sparkline>
            <x14:sparkline>
              <xm:f>'Risk Results 1'!B351:B351</xm:f>
              <xm:sqref>C351</xm:sqref>
            </x14:sparkline>
            <x14:sparkline>
              <xm:f>'Risk Results 1'!B352:B352</xm:f>
              <xm:sqref>C352</xm:sqref>
            </x14:sparkline>
            <x14:sparkline>
              <xm:f>'Risk Results 1'!B353:B353</xm:f>
              <xm:sqref>C353</xm:sqref>
            </x14:sparkline>
            <x14:sparkline>
              <xm:f>'Risk Results 1'!B354:B354</xm:f>
              <xm:sqref>C354</xm:sqref>
            </x14:sparkline>
            <x14:sparkline>
              <xm:f>'Risk Results 1'!B355:B355</xm:f>
              <xm:sqref>C355</xm:sqref>
            </x14:sparkline>
            <x14:sparkline>
              <xm:f>'Risk Results 1'!B356:B356</xm:f>
              <xm:sqref>C356</xm:sqref>
            </x14:sparkline>
            <x14:sparkline>
              <xm:f>'Risk Results 1'!B357:B357</xm:f>
              <xm:sqref>C357</xm:sqref>
            </x14:sparkline>
            <x14:sparkline>
              <xm:f>'Risk Results 1'!B358:B358</xm:f>
              <xm:sqref>C358</xm:sqref>
            </x14:sparkline>
            <x14:sparkline>
              <xm:f>'Risk Results 1'!B359:B359</xm:f>
              <xm:sqref>C359</xm:sqref>
            </x14:sparkline>
            <x14:sparkline>
              <xm:f>'Risk Results 1'!B360:B360</xm:f>
              <xm:sqref>C360</xm:sqref>
            </x14:sparkline>
            <x14:sparkline>
              <xm:f>'Risk Results 1'!B361:B361</xm:f>
              <xm:sqref>C361</xm:sqref>
            </x14:sparkline>
            <x14:sparkline>
              <xm:f>'Risk Results 1'!B362:B362</xm:f>
              <xm:sqref>C362</xm:sqref>
            </x14:sparkline>
            <x14:sparkline>
              <xm:f>'Risk Results 1'!B363:B363</xm:f>
              <xm:sqref>C363</xm:sqref>
            </x14:sparkline>
            <x14:sparkline>
              <xm:f>'Risk Results 1'!B364:B364</xm:f>
              <xm:sqref>C364</xm:sqref>
            </x14:sparkline>
            <x14:sparkline>
              <xm:f>'Risk Results 1'!B365:B365</xm:f>
              <xm:sqref>C365</xm:sqref>
            </x14:sparkline>
            <x14:sparkline>
              <xm:f>'Risk Results 1'!B366:B366</xm:f>
              <xm:sqref>C366</xm:sqref>
            </x14:sparkline>
            <x14:sparkline>
              <xm:f>'Risk Results 1'!B367:B367</xm:f>
              <xm:sqref>C367</xm:sqref>
            </x14:sparkline>
            <x14:sparkline>
              <xm:f>'Risk Results 1'!B368:B368</xm:f>
              <xm:sqref>C368</xm:sqref>
            </x14:sparkline>
            <x14:sparkline>
              <xm:f>'Risk Results 1'!B369:B369</xm:f>
              <xm:sqref>C369</xm:sqref>
            </x14:sparkline>
            <x14:sparkline>
              <xm:f>'Risk Results 1'!B370:B370</xm:f>
              <xm:sqref>C370</xm:sqref>
            </x14:sparkline>
            <x14:sparkline>
              <xm:f>'Risk Results 1'!B371:B371</xm:f>
              <xm:sqref>C371</xm:sqref>
            </x14:sparkline>
            <x14:sparkline>
              <xm:f>'Risk Results 1'!B372:B372</xm:f>
              <xm:sqref>C372</xm:sqref>
            </x14:sparkline>
            <x14:sparkline>
              <xm:f>'Risk Results 1'!B373:B373</xm:f>
              <xm:sqref>C373</xm:sqref>
            </x14:sparkline>
            <x14:sparkline>
              <xm:f>'Risk Results 1'!B374:B374</xm:f>
              <xm:sqref>C374</xm:sqref>
            </x14:sparkline>
            <x14:sparkline>
              <xm:f>'Risk Results 1'!B375:B375</xm:f>
              <xm:sqref>C375</xm:sqref>
            </x14:sparkline>
            <x14:sparkline>
              <xm:f>'Risk Results 1'!B376:B376</xm:f>
              <xm:sqref>C376</xm:sqref>
            </x14:sparkline>
            <x14:sparkline>
              <xm:f>'Risk Results 1'!B377:B377</xm:f>
              <xm:sqref>C377</xm:sqref>
            </x14:sparkline>
            <x14:sparkline>
              <xm:f>'Risk Results 1'!B378:B378</xm:f>
              <xm:sqref>C378</xm:sqref>
            </x14:sparkline>
            <x14:sparkline>
              <xm:f>'Risk Results 1'!B379:B379</xm:f>
              <xm:sqref>C379</xm:sqref>
            </x14:sparkline>
            <x14:sparkline>
              <xm:f>'Risk Results 1'!B380:B380</xm:f>
              <xm:sqref>C380</xm:sqref>
            </x14:sparkline>
            <x14:sparkline>
              <xm:f>'Risk Results 1'!B381:B381</xm:f>
              <xm:sqref>C381</xm:sqref>
            </x14:sparkline>
            <x14:sparkline>
              <xm:f>'Risk Results 1'!B382:B382</xm:f>
              <xm:sqref>C382</xm:sqref>
            </x14:sparkline>
            <x14:sparkline>
              <xm:f>'Risk Results 1'!B383:B383</xm:f>
              <xm:sqref>C383</xm:sqref>
            </x14:sparkline>
            <x14:sparkline>
              <xm:f>'Risk Results 1'!B384:B384</xm:f>
              <xm:sqref>C384</xm:sqref>
            </x14:sparkline>
            <x14:sparkline>
              <xm:f>'Risk Results 1'!B385:B385</xm:f>
              <xm:sqref>C385</xm:sqref>
            </x14:sparkline>
            <x14:sparkline>
              <xm:f>'Risk Results 1'!B386:B386</xm:f>
              <xm:sqref>C386</xm:sqref>
            </x14:sparkline>
            <x14:sparkline>
              <xm:f>'Risk Results 1'!B387:B387</xm:f>
              <xm:sqref>C387</xm:sqref>
            </x14:sparkline>
            <x14:sparkline>
              <xm:f>'Risk Results 1'!B388:B388</xm:f>
              <xm:sqref>C388</xm:sqref>
            </x14:sparkline>
            <x14:sparkline>
              <xm:f>'Risk Results 1'!B389:B389</xm:f>
              <xm:sqref>C389</xm:sqref>
            </x14:sparkline>
            <x14:sparkline>
              <xm:f>'Risk Results 1'!B390:B390</xm:f>
              <xm:sqref>C390</xm:sqref>
            </x14:sparkline>
            <x14:sparkline>
              <xm:f>'Risk Results 1'!B391:B391</xm:f>
              <xm:sqref>C391</xm:sqref>
            </x14:sparkline>
            <x14:sparkline>
              <xm:f>'Risk Results 1'!B392:B392</xm:f>
              <xm:sqref>C392</xm:sqref>
            </x14:sparkline>
            <x14:sparkline>
              <xm:f>'Risk Results 1'!B393:B393</xm:f>
              <xm:sqref>C393</xm:sqref>
            </x14:sparkline>
            <x14:sparkline>
              <xm:f>'Risk Results 1'!B394:B394</xm:f>
              <xm:sqref>C394</xm:sqref>
            </x14:sparkline>
            <x14:sparkline>
              <xm:f>'Risk Results 1'!B395:B395</xm:f>
              <xm:sqref>C395</xm:sqref>
            </x14:sparkline>
            <x14:sparkline>
              <xm:f>'Risk Results 1'!B396:B396</xm:f>
              <xm:sqref>C396</xm:sqref>
            </x14:sparkline>
            <x14:sparkline>
              <xm:f>'Risk Results 1'!B397:B397</xm:f>
              <xm:sqref>C397</xm:sqref>
            </x14:sparkline>
            <x14:sparkline>
              <xm:f>'Risk Results 1'!B398:B398</xm:f>
              <xm:sqref>C398</xm:sqref>
            </x14:sparkline>
            <x14:sparkline>
              <xm:f>'Risk Results 1'!B399:B399</xm:f>
              <xm:sqref>C399</xm:sqref>
            </x14:sparkline>
            <x14:sparkline>
              <xm:f>'Risk Results 1'!B400:B400</xm:f>
              <xm:sqref>C400</xm:sqref>
            </x14:sparkline>
            <x14:sparkline>
              <xm:f>'Risk Results 1'!B401:B401</xm:f>
              <xm:sqref>C401</xm:sqref>
            </x14:sparkline>
            <x14:sparkline>
              <xm:f>'Risk Results 1'!B402:B402</xm:f>
              <xm:sqref>C402</xm:sqref>
            </x14:sparkline>
            <x14:sparkline>
              <xm:f>'Risk Results 1'!B403:B403</xm:f>
              <xm:sqref>C403</xm:sqref>
            </x14:sparkline>
            <x14:sparkline>
              <xm:f>'Risk Results 1'!B404:B404</xm:f>
              <xm:sqref>C404</xm:sqref>
            </x14:sparkline>
            <x14:sparkline>
              <xm:f>'Risk Results 1'!B405:B405</xm:f>
              <xm:sqref>C405</xm:sqref>
            </x14:sparkline>
            <x14:sparkline>
              <xm:f>'Risk Results 1'!B406:B406</xm:f>
              <xm:sqref>C406</xm:sqref>
            </x14:sparkline>
            <x14:sparkline>
              <xm:f>'Risk Results 1'!B407:B407</xm:f>
              <xm:sqref>C407</xm:sqref>
            </x14:sparkline>
            <x14:sparkline>
              <xm:f>'Risk Results 1'!B408:B408</xm:f>
              <xm:sqref>C408</xm:sqref>
            </x14:sparkline>
            <x14:sparkline>
              <xm:f>'Risk Results 1'!B409:B409</xm:f>
              <xm:sqref>C409</xm:sqref>
            </x14:sparkline>
            <x14:sparkline>
              <xm:f>'Risk Results 1'!B410:B410</xm:f>
              <xm:sqref>C410</xm:sqref>
            </x14:sparkline>
            <x14:sparkline>
              <xm:f>'Risk Results 1'!B411:B411</xm:f>
              <xm:sqref>C411</xm:sqref>
            </x14:sparkline>
            <x14:sparkline>
              <xm:f>'Risk Results 1'!B412:B412</xm:f>
              <xm:sqref>C412</xm:sqref>
            </x14:sparkline>
            <x14:sparkline>
              <xm:f>'Risk Results 1'!B413:B413</xm:f>
              <xm:sqref>C413</xm:sqref>
            </x14:sparkline>
            <x14:sparkline>
              <xm:f>'Risk Results 1'!B414:B414</xm:f>
              <xm:sqref>C414</xm:sqref>
            </x14:sparkline>
            <x14:sparkline>
              <xm:f>'Risk Results 1'!B415:B415</xm:f>
              <xm:sqref>C415</xm:sqref>
            </x14:sparkline>
            <x14:sparkline>
              <xm:f>'Risk Results 1'!B416:B416</xm:f>
              <xm:sqref>C416</xm:sqref>
            </x14:sparkline>
            <x14:sparkline>
              <xm:f>'Risk Results 1'!B417:B417</xm:f>
              <xm:sqref>C417</xm:sqref>
            </x14:sparkline>
            <x14:sparkline>
              <xm:f>'Risk Results 1'!B418:B418</xm:f>
              <xm:sqref>C418</xm:sqref>
            </x14:sparkline>
            <x14:sparkline>
              <xm:f>'Risk Results 1'!B419:B419</xm:f>
              <xm:sqref>C419</xm:sqref>
            </x14:sparkline>
            <x14:sparkline>
              <xm:f>'Risk Results 1'!B420:B420</xm:f>
              <xm:sqref>C420</xm:sqref>
            </x14:sparkline>
            <x14:sparkline>
              <xm:f>'Risk Results 1'!B421:B421</xm:f>
              <xm:sqref>C421</xm:sqref>
            </x14:sparkline>
            <x14:sparkline>
              <xm:f>'Risk Results 1'!B422:B422</xm:f>
              <xm:sqref>C422</xm:sqref>
            </x14:sparkline>
            <x14:sparkline>
              <xm:f>'Risk Results 1'!B423:B423</xm:f>
              <xm:sqref>C423</xm:sqref>
            </x14:sparkline>
            <x14:sparkline>
              <xm:f>'Risk Results 1'!B424:B424</xm:f>
              <xm:sqref>C424</xm:sqref>
            </x14:sparkline>
            <x14:sparkline>
              <xm:f>'Risk Results 1'!B425:B425</xm:f>
              <xm:sqref>C425</xm:sqref>
            </x14:sparkline>
            <x14:sparkline>
              <xm:f>'Risk Results 1'!B426:B426</xm:f>
              <xm:sqref>C426</xm:sqref>
            </x14:sparkline>
            <x14:sparkline>
              <xm:f>'Risk Results 1'!B427:B427</xm:f>
              <xm:sqref>C427</xm:sqref>
            </x14:sparkline>
            <x14:sparkline>
              <xm:f>'Risk Results 1'!B428:B428</xm:f>
              <xm:sqref>C428</xm:sqref>
            </x14:sparkline>
            <x14:sparkline>
              <xm:f>'Risk Results 1'!B429:B429</xm:f>
              <xm:sqref>C429</xm:sqref>
            </x14:sparkline>
            <x14:sparkline>
              <xm:f>'Risk Results 1'!B430:B430</xm:f>
              <xm:sqref>C430</xm:sqref>
            </x14:sparkline>
            <x14:sparkline>
              <xm:f>'Risk Results 1'!B431:B431</xm:f>
              <xm:sqref>C431</xm:sqref>
            </x14:sparkline>
            <x14:sparkline>
              <xm:f>'Risk Results 1'!B432:B432</xm:f>
              <xm:sqref>C432</xm:sqref>
            </x14:sparkline>
            <x14:sparkline>
              <xm:f>'Risk Results 1'!B433:B433</xm:f>
              <xm:sqref>C433</xm:sqref>
            </x14:sparkline>
            <x14:sparkline>
              <xm:f>'Risk Results 1'!B434:B434</xm:f>
              <xm:sqref>C434</xm:sqref>
            </x14:sparkline>
            <x14:sparkline>
              <xm:f>'Risk Results 1'!B435:B435</xm:f>
              <xm:sqref>C435</xm:sqref>
            </x14:sparkline>
            <x14:sparkline>
              <xm:f>'Risk Results 1'!B436:B436</xm:f>
              <xm:sqref>C436</xm:sqref>
            </x14:sparkline>
            <x14:sparkline>
              <xm:f>'Risk Results 1'!B437:B437</xm:f>
              <xm:sqref>C437</xm:sqref>
            </x14:sparkline>
            <x14:sparkline>
              <xm:f>'Risk Results 1'!B438:B438</xm:f>
              <xm:sqref>C438</xm:sqref>
            </x14:sparkline>
            <x14:sparkline>
              <xm:f>'Risk Results 1'!B439:B439</xm:f>
              <xm:sqref>C439</xm:sqref>
            </x14:sparkline>
            <x14:sparkline>
              <xm:f>'Risk Results 1'!B440:B440</xm:f>
              <xm:sqref>C440</xm:sqref>
            </x14:sparkline>
            <x14:sparkline>
              <xm:f>'Risk Results 1'!B441:B441</xm:f>
              <xm:sqref>C441</xm:sqref>
            </x14:sparkline>
            <x14:sparkline>
              <xm:f>'Risk Results 1'!B442:B442</xm:f>
              <xm:sqref>C442</xm:sqref>
            </x14:sparkline>
            <x14:sparkline>
              <xm:f>'Risk Results 1'!B443:B443</xm:f>
              <xm:sqref>C443</xm:sqref>
            </x14:sparkline>
            <x14:sparkline>
              <xm:f>'Risk Results 1'!B444:B444</xm:f>
              <xm:sqref>C444</xm:sqref>
            </x14:sparkline>
            <x14:sparkline>
              <xm:f>'Risk Results 1'!B445:B445</xm:f>
              <xm:sqref>C445</xm:sqref>
            </x14:sparkline>
            <x14:sparkline>
              <xm:f>'Risk Results 1'!B446:B446</xm:f>
              <xm:sqref>C446</xm:sqref>
            </x14:sparkline>
            <x14:sparkline>
              <xm:f>'Risk Results 1'!B447:B447</xm:f>
              <xm:sqref>C447</xm:sqref>
            </x14:sparkline>
            <x14:sparkline>
              <xm:f>'Risk Results 1'!B448:B448</xm:f>
              <xm:sqref>C448</xm:sqref>
            </x14:sparkline>
            <x14:sparkline>
              <xm:f>'Risk Results 1'!B449:B449</xm:f>
              <xm:sqref>C449</xm:sqref>
            </x14:sparkline>
            <x14:sparkline>
              <xm:f>'Risk Results 1'!B450:B450</xm:f>
              <xm:sqref>C450</xm:sqref>
            </x14:sparkline>
            <x14:sparkline>
              <xm:f>'Risk Results 1'!B451:B451</xm:f>
              <xm:sqref>C451</xm:sqref>
            </x14:sparkline>
            <x14:sparkline>
              <xm:f>'Risk Results 1'!B452:B452</xm:f>
              <xm:sqref>C452</xm:sqref>
            </x14:sparkline>
            <x14:sparkline>
              <xm:f>'Risk Results 1'!B453:B453</xm:f>
              <xm:sqref>C453</xm:sqref>
            </x14:sparkline>
            <x14:sparkline>
              <xm:f>'Risk Results 1'!B454:B454</xm:f>
              <xm:sqref>C454</xm:sqref>
            </x14:sparkline>
            <x14:sparkline>
              <xm:f>'Risk Results 1'!B455:B455</xm:f>
              <xm:sqref>C455</xm:sqref>
            </x14:sparkline>
            <x14:sparkline>
              <xm:f>'Risk Results 1'!B456:B456</xm:f>
              <xm:sqref>C456</xm:sqref>
            </x14:sparkline>
            <x14:sparkline>
              <xm:f>'Risk Results 1'!B457:B457</xm:f>
              <xm:sqref>C457</xm:sqref>
            </x14:sparkline>
            <x14:sparkline>
              <xm:f>'Risk Results 1'!B458:B458</xm:f>
              <xm:sqref>C458</xm:sqref>
            </x14:sparkline>
            <x14:sparkline>
              <xm:f>'Risk Results 1'!B459:B459</xm:f>
              <xm:sqref>C459</xm:sqref>
            </x14:sparkline>
            <x14:sparkline>
              <xm:f>'Risk Results 1'!B460:B460</xm:f>
              <xm:sqref>C460</xm:sqref>
            </x14:sparkline>
            <x14:sparkline>
              <xm:f>'Risk Results 1'!B461:B461</xm:f>
              <xm:sqref>C461</xm:sqref>
            </x14:sparkline>
            <x14:sparkline>
              <xm:f>'Risk Results 1'!B462:B462</xm:f>
              <xm:sqref>C462</xm:sqref>
            </x14:sparkline>
            <x14:sparkline>
              <xm:f>'Risk Results 1'!B463:B463</xm:f>
              <xm:sqref>C463</xm:sqref>
            </x14:sparkline>
            <x14:sparkline>
              <xm:f>'Risk Results 1'!B464:B464</xm:f>
              <xm:sqref>C464</xm:sqref>
            </x14:sparkline>
            <x14:sparkline>
              <xm:f>'Risk Results 1'!B465:B465</xm:f>
              <xm:sqref>C465</xm:sqref>
            </x14:sparkline>
            <x14:sparkline>
              <xm:f>'Risk Results 1'!B466:B466</xm:f>
              <xm:sqref>C466</xm:sqref>
            </x14:sparkline>
            <x14:sparkline>
              <xm:f>'Risk Results 1'!B467:B467</xm:f>
              <xm:sqref>C467</xm:sqref>
            </x14:sparkline>
            <x14:sparkline>
              <xm:f>'Risk Results 1'!B468:B468</xm:f>
              <xm:sqref>C468</xm:sqref>
            </x14:sparkline>
            <x14:sparkline>
              <xm:f>'Risk Results 1'!B469:B469</xm:f>
              <xm:sqref>C469</xm:sqref>
            </x14:sparkline>
            <x14:sparkline>
              <xm:f>'Risk Results 1'!B470:B470</xm:f>
              <xm:sqref>C470</xm:sqref>
            </x14:sparkline>
            <x14:sparkline>
              <xm:f>'Risk Results 1'!B471:B471</xm:f>
              <xm:sqref>C471</xm:sqref>
            </x14:sparkline>
            <x14:sparkline>
              <xm:f>'Risk Results 1'!B472:B472</xm:f>
              <xm:sqref>C472</xm:sqref>
            </x14:sparkline>
            <x14:sparkline>
              <xm:f>'Risk Results 1'!B473:B473</xm:f>
              <xm:sqref>C473</xm:sqref>
            </x14:sparkline>
            <x14:sparkline>
              <xm:f>'Risk Results 1'!B474:B474</xm:f>
              <xm:sqref>C474</xm:sqref>
            </x14:sparkline>
            <x14:sparkline>
              <xm:f>'Risk Results 1'!B475:B475</xm:f>
              <xm:sqref>C475</xm:sqref>
            </x14:sparkline>
            <x14:sparkline>
              <xm:f>'Risk Results 1'!B476:B476</xm:f>
              <xm:sqref>C476</xm:sqref>
            </x14:sparkline>
            <x14:sparkline>
              <xm:f>'Risk Results 1'!B477:B477</xm:f>
              <xm:sqref>C477</xm:sqref>
            </x14:sparkline>
            <x14:sparkline>
              <xm:f>'Risk Results 1'!B478:B478</xm:f>
              <xm:sqref>C478</xm:sqref>
            </x14:sparkline>
            <x14:sparkline>
              <xm:f>'Risk Results 1'!B479:B479</xm:f>
              <xm:sqref>C479</xm:sqref>
            </x14:sparkline>
            <x14:sparkline>
              <xm:f>'Risk Results 1'!B480:B480</xm:f>
              <xm:sqref>C480</xm:sqref>
            </x14:sparkline>
            <x14:sparkline>
              <xm:f>'Risk Results 1'!B481:B481</xm:f>
              <xm:sqref>C481</xm:sqref>
            </x14:sparkline>
            <x14:sparkline>
              <xm:f>'Risk Results 1'!B482:B482</xm:f>
              <xm:sqref>C482</xm:sqref>
            </x14:sparkline>
            <x14:sparkline>
              <xm:f>'Risk Results 1'!B483:B483</xm:f>
              <xm:sqref>C483</xm:sqref>
            </x14:sparkline>
            <x14:sparkline>
              <xm:f>'Risk Results 1'!B484:B484</xm:f>
              <xm:sqref>C484</xm:sqref>
            </x14:sparkline>
            <x14:sparkline>
              <xm:f>'Risk Results 1'!B485:B485</xm:f>
              <xm:sqref>C485</xm:sqref>
            </x14:sparkline>
            <x14:sparkline>
              <xm:f>'Risk Results 1'!B486:B486</xm:f>
              <xm:sqref>C486</xm:sqref>
            </x14:sparkline>
            <x14:sparkline>
              <xm:f>'Risk Results 1'!B487:B487</xm:f>
              <xm:sqref>C487</xm:sqref>
            </x14:sparkline>
            <x14:sparkline>
              <xm:f>'Risk Results 1'!B488:B488</xm:f>
              <xm:sqref>C488</xm:sqref>
            </x14:sparkline>
            <x14:sparkline>
              <xm:f>'Risk Results 1'!B489:B489</xm:f>
              <xm:sqref>C489</xm:sqref>
            </x14:sparkline>
            <x14:sparkline>
              <xm:f>'Risk Results 1'!B490:B490</xm:f>
              <xm:sqref>C490</xm:sqref>
            </x14:sparkline>
            <x14:sparkline>
              <xm:f>'Risk Results 1'!B491:B491</xm:f>
              <xm:sqref>C491</xm:sqref>
            </x14:sparkline>
            <x14:sparkline>
              <xm:f>'Risk Results 1'!B492:B492</xm:f>
              <xm:sqref>C492</xm:sqref>
            </x14:sparkline>
            <x14:sparkline>
              <xm:f>'Risk Results 1'!B493:B493</xm:f>
              <xm:sqref>C493</xm:sqref>
            </x14:sparkline>
            <x14:sparkline>
              <xm:f>'Risk Results 1'!B494:B494</xm:f>
              <xm:sqref>C494</xm:sqref>
            </x14:sparkline>
            <x14:sparkline>
              <xm:f>'Risk Results 1'!B495:B495</xm:f>
              <xm:sqref>C495</xm:sqref>
            </x14:sparkline>
            <x14:sparkline>
              <xm:f>'Risk Results 1'!B496:B496</xm:f>
              <xm:sqref>C496</xm:sqref>
            </x14:sparkline>
            <x14:sparkline>
              <xm:f>'Risk Results 1'!B497:B497</xm:f>
              <xm:sqref>C497</xm:sqref>
            </x14:sparkline>
            <x14:sparkline>
              <xm:f>'Risk Results 1'!B498:B498</xm:f>
              <xm:sqref>C498</xm:sqref>
            </x14:sparkline>
            <x14:sparkline>
              <xm:f>'Risk Results 1'!B499:B499</xm:f>
              <xm:sqref>C499</xm:sqref>
            </x14:sparkline>
            <x14:sparkline>
              <xm:f>'Risk Results 1'!B500:B500</xm:f>
              <xm:sqref>C500</xm:sqref>
            </x14:sparkline>
            <x14:sparkline>
              <xm:f>'Risk Results 1'!B501:B501</xm:f>
              <xm:sqref>C501</xm:sqref>
            </x14:sparkline>
            <x14:sparkline>
              <xm:f>'Risk Results 1'!B502:B502</xm:f>
              <xm:sqref>C502</xm:sqref>
            </x14:sparkline>
            <x14:sparkline>
              <xm:f>'Risk Results 1'!B503:B503</xm:f>
              <xm:sqref>C503</xm:sqref>
            </x14:sparkline>
            <x14:sparkline>
              <xm:f>'Risk Results 1'!B504:B504</xm:f>
              <xm:sqref>C504</xm:sqref>
            </x14:sparkline>
            <x14:sparkline>
              <xm:f>'Risk Results 1'!B505:B505</xm:f>
              <xm:sqref>C505</xm:sqref>
            </x14:sparkline>
            <x14:sparkline>
              <xm:f>'Risk Results 1'!B506:B506</xm:f>
              <xm:sqref>C506</xm:sqref>
            </x14:sparkline>
            <x14:sparkline>
              <xm:f>'Risk Results 1'!B507:B507</xm:f>
              <xm:sqref>C507</xm:sqref>
            </x14:sparkline>
            <x14:sparkline>
              <xm:f>'Risk Results 1'!B508:B508</xm:f>
              <xm:sqref>C508</xm:sqref>
            </x14:sparkline>
            <x14:sparkline>
              <xm:f>'Risk Results 1'!B509:B509</xm:f>
              <xm:sqref>C509</xm:sqref>
            </x14:sparkline>
            <x14:sparkline>
              <xm:f>'Risk Results 1'!B510:B510</xm:f>
              <xm:sqref>C510</xm:sqref>
            </x14:sparkline>
            <x14:sparkline>
              <xm:f>'Risk Results 1'!B511:B511</xm:f>
              <xm:sqref>C511</xm:sqref>
            </x14:sparkline>
            <x14:sparkline>
              <xm:f>'Risk Results 1'!B512:B512</xm:f>
              <xm:sqref>C512</xm:sqref>
            </x14:sparkline>
            <x14:sparkline>
              <xm:f>'Risk Results 1'!B513:B513</xm:f>
              <xm:sqref>C513</xm:sqref>
            </x14:sparkline>
            <x14:sparkline>
              <xm:f>'Risk Results 1'!B514:B514</xm:f>
              <xm:sqref>C514</xm:sqref>
            </x14:sparkline>
            <x14:sparkline>
              <xm:f>'Risk Results 1'!B515:B515</xm:f>
              <xm:sqref>C515</xm:sqref>
            </x14:sparkline>
            <x14:sparkline>
              <xm:f>'Risk Results 1'!B516:B516</xm:f>
              <xm:sqref>C516</xm:sqref>
            </x14:sparkline>
            <x14:sparkline>
              <xm:f>'Risk Results 1'!B517:B517</xm:f>
              <xm:sqref>C517</xm:sqref>
            </x14:sparkline>
            <x14:sparkline>
              <xm:f>'Risk Results 1'!B518:B518</xm:f>
              <xm:sqref>C518</xm:sqref>
            </x14:sparkline>
            <x14:sparkline>
              <xm:f>'Risk Results 1'!B519:B519</xm:f>
              <xm:sqref>C519</xm:sqref>
            </x14:sparkline>
            <x14:sparkline>
              <xm:f>'Risk Results 1'!B520:B520</xm:f>
              <xm:sqref>C520</xm:sqref>
            </x14:sparkline>
            <x14:sparkline>
              <xm:f>'Risk Results 1'!B521:B521</xm:f>
              <xm:sqref>C521</xm:sqref>
            </x14:sparkline>
            <x14:sparkline>
              <xm:f>'Risk Results 1'!B522:B522</xm:f>
              <xm:sqref>C522</xm:sqref>
            </x14:sparkline>
            <x14:sparkline>
              <xm:f>'Risk Results 1'!B523:B523</xm:f>
              <xm:sqref>C523</xm:sqref>
            </x14:sparkline>
            <x14:sparkline>
              <xm:f>'Risk Results 1'!B524:B524</xm:f>
              <xm:sqref>C524</xm:sqref>
            </x14:sparkline>
            <x14:sparkline>
              <xm:f>'Risk Results 1'!B525:B525</xm:f>
              <xm:sqref>C525</xm:sqref>
            </x14:sparkline>
            <x14:sparkline>
              <xm:f>'Risk Results 1'!B526:B526</xm:f>
              <xm:sqref>C526</xm:sqref>
            </x14:sparkline>
            <x14:sparkline>
              <xm:f>'Risk Results 1'!B527:B527</xm:f>
              <xm:sqref>C527</xm:sqref>
            </x14:sparkline>
            <x14:sparkline>
              <xm:f>'Risk Results 1'!B528:B528</xm:f>
              <xm:sqref>C528</xm:sqref>
            </x14:sparkline>
            <x14:sparkline>
              <xm:f>'Risk Results 1'!B529:B529</xm:f>
              <xm:sqref>C529</xm:sqref>
            </x14:sparkline>
            <x14:sparkline>
              <xm:f>'Risk Results 1'!B530:B530</xm:f>
              <xm:sqref>C530</xm:sqref>
            </x14:sparkline>
            <x14:sparkline>
              <xm:f>'Risk Results 1'!B531:B531</xm:f>
              <xm:sqref>C531</xm:sqref>
            </x14:sparkline>
            <x14:sparkline>
              <xm:f>'Risk Results 1'!B532:B532</xm:f>
              <xm:sqref>C532</xm:sqref>
            </x14:sparkline>
            <x14:sparkline>
              <xm:f>'Risk Results 1'!B533:B533</xm:f>
              <xm:sqref>C533</xm:sqref>
            </x14:sparkline>
            <x14:sparkline>
              <xm:f>'Risk Results 1'!B534:B534</xm:f>
              <xm:sqref>C534</xm:sqref>
            </x14:sparkline>
            <x14:sparkline>
              <xm:f>'Risk Results 1'!B535:B535</xm:f>
              <xm:sqref>C535</xm:sqref>
            </x14:sparkline>
            <x14:sparkline>
              <xm:f>'Risk Results 1'!B536:B536</xm:f>
              <xm:sqref>C536</xm:sqref>
            </x14:sparkline>
            <x14:sparkline>
              <xm:f>'Risk Results 1'!B537:B537</xm:f>
              <xm:sqref>C537</xm:sqref>
            </x14:sparkline>
            <x14:sparkline>
              <xm:f>'Risk Results 1'!B538:B538</xm:f>
              <xm:sqref>C538</xm:sqref>
            </x14:sparkline>
            <x14:sparkline>
              <xm:f>'Risk Results 1'!B539:B539</xm:f>
              <xm:sqref>C539</xm:sqref>
            </x14:sparkline>
            <x14:sparkline>
              <xm:f>'Risk Results 1'!B540:B540</xm:f>
              <xm:sqref>C540</xm:sqref>
            </x14:sparkline>
            <x14:sparkline>
              <xm:f>'Risk Results 1'!B541:B541</xm:f>
              <xm:sqref>C541</xm:sqref>
            </x14:sparkline>
            <x14:sparkline>
              <xm:f>'Risk Results 1'!B542:B542</xm:f>
              <xm:sqref>C542</xm:sqref>
            </x14:sparkline>
            <x14:sparkline>
              <xm:f>'Risk Results 1'!B543:B543</xm:f>
              <xm:sqref>C543</xm:sqref>
            </x14:sparkline>
            <x14:sparkline>
              <xm:f>'Risk Results 1'!B544:B544</xm:f>
              <xm:sqref>C544</xm:sqref>
            </x14:sparkline>
            <x14:sparkline>
              <xm:f>'Risk Results 1'!B545:B545</xm:f>
              <xm:sqref>C545</xm:sqref>
            </x14:sparkline>
            <x14:sparkline>
              <xm:f>'Risk Results 1'!B546:B546</xm:f>
              <xm:sqref>C546</xm:sqref>
            </x14:sparkline>
            <x14:sparkline>
              <xm:f>'Risk Results 1'!B547:B547</xm:f>
              <xm:sqref>C547</xm:sqref>
            </x14:sparkline>
            <x14:sparkline>
              <xm:f>'Risk Results 1'!B548:B548</xm:f>
              <xm:sqref>C548</xm:sqref>
            </x14:sparkline>
            <x14:sparkline>
              <xm:f>'Risk Results 1'!B549:B549</xm:f>
              <xm:sqref>C549</xm:sqref>
            </x14:sparkline>
            <x14:sparkline>
              <xm:f>'Risk Results 1'!B550:B550</xm:f>
              <xm:sqref>C550</xm:sqref>
            </x14:sparkline>
            <x14:sparkline>
              <xm:f>'Risk Results 1'!B551:B551</xm:f>
              <xm:sqref>C551</xm:sqref>
            </x14:sparkline>
            <x14:sparkline>
              <xm:f>'Risk Results 1'!B552:B552</xm:f>
              <xm:sqref>C552</xm:sqref>
            </x14:sparkline>
            <x14:sparkline>
              <xm:f>'Risk Results 1'!B553:B553</xm:f>
              <xm:sqref>C553</xm:sqref>
            </x14:sparkline>
            <x14:sparkline>
              <xm:f>'Risk Results 1'!B554:B554</xm:f>
              <xm:sqref>C554</xm:sqref>
            </x14:sparkline>
            <x14:sparkline>
              <xm:f>'Risk Results 1'!B555:B555</xm:f>
              <xm:sqref>C555</xm:sqref>
            </x14:sparkline>
            <x14:sparkline>
              <xm:f>'Risk Results 1'!B556:B556</xm:f>
              <xm:sqref>C556</xm:sqref>
            </x14:sparkline>
            <x14:sparkline>
              <xm:f>'Risk Results 1'!B557:B557</xm:f>
              <xm:sqref>C557</xm:sqref>
            </x14:sparkline>
            <x14:sparkline>
              <xm:f>'Risk Results 1'!B558:B558</xm:f>
              <xm:sqref>C558</xm:sqref>
            </x14:sparkline>
            <x14:sparkline>
              <xm:f>'Risk Results 1'!B559:B559</xm:f>
              <xm:sqref>C559</xm:sqref>
            </x14:sparkline>
            <x14:sparkline>
              <xm:f>'Risk Results 1'!B560:B560</xm:f>
              <xm:sqref>C560</xm:sqref>
            </x14:sparkline>
            <x14:sparkline>
              <xm:f>'Risk Results 1'!B561:B561</xm:f>
              <xm:sqref>C561</xm:sqref>
            </x14:sparkline>
            <x14:sparkline>
              <xm:f>'Risk Results 1'!B562:B562</xm:f>
              <xm:sqref>C562</xm:sqref>
            </x14:sparkline>
            <x14:sparkline>
              <xm:f>'Risk Results 1'!B563:B563</xm:f>
              <xm:sqref>C563</xm:sqref>
            </x14:sparkline>
            <x14:sparkline>
              <xm:f>'Risk Results 1'!B564:B564</xm:f>
              <xm:sqref>C564</xm:sqref>
            </x14:sparkline>
            <x14:sparkline>
              <xm:f>'Risk Results 1'!B565:B565</xm:f>
              <xm:sqref>C565</xm:sqref>
            </x14:sparkline>
            <x14:sparkline>
              <xm:f>'Risk Results 1'!B566:B566</xm:f>
              <xm:sqref>C566</xm:sqref>
            </x14:sparkline>
            <x14:sparkline>
              <xm:f>'Risk Results 1'!B567:B567</xm:f>
              <xm:sqref>C567</xm:sqref>
            </x14:sparkline>
            <x14:sparkline>
              <xm:f>'Risk Results 1'!B568:B568</xm:f>
              <xm:sqref>C568</xm:sqref>
            </x14:sparkline>
            <x14:sparkline>
              <xm:f>'Risk Results 1'!B569:B569</xm:f>
              <xm:sqref>C569</xm:sqref>
            </x14:sparkline>
            <x14:sparkline>
              <xm:f>'Risk Results 1'!B570:B570</xm:f>
              <xm:sqref>C570</xm:sqref>
            </x14:sparkline>
            <x14:sparkline>
              <xm:f>'Risk Results 1'!B571:B571</xm:f>
              <xm:sqref>C571</xm:sqref>
            </x14:sparkline>
            <x14:sparkline>
              <xm:f>'Risk Results 1'!B572:B572</xm:f>
              <xm:sqref>C572</xm:sqref>
            </x14:sparkline>
            <x14:sparkline>
              <xm:f>'Risk Results 1'!B573:B573</xm:f>
              <xm:sqref>C573</xm:sqref>
            </x14:sparkline>
            <x14:sparkline>
              <xm:f>'Risk Results 1'!B574:B574</xm:f>
              <xm:sqref>C574</xm:sqref>
            </x14:sparkline>
            <x14:sparkline>
              <xm:f>'Risk Results 1'!B575:B575</xm:f>
              <xm:sqref>C575</xm:sqref>
            </x14:sparkline>
            <x14:sparkline>
              <xm:f>'Risk Results 1'!B576:B576</xm:f>
              <xm:sqref>C576</xm:sqref>
            </x14:sparkline>
            <x14:sparkline>
              <xm:f>'Risk Results 1'!B577:B577</xm:f>
              <xm:sqref>C577</xm:sqref>
            </x14:sparkline>
            <x14:sparkline>
              <xm:f>'Risk Results 1'!B578:B578</xm:f>
              <xm:sqref>C578</xm:sqref>
            </x14:sparkline>
            <x14:sparkline>
              <xm:f>'Risk Results 1'!B579:B579</xm:f>
              <xm:sqref>C579</xm:sqref>
            </x14:sparkline>
            <x14:sparkline>
              <xm:f>'Risk Results 1'!B580:B580</xm:f>
              <xm:sqref>C580</xm:sqref>
            </x14:sparkline>
            <x14:sparkline>
              <xm:f>'Risk Results 1'!B581:B581</xm:f>
              <xm:sqref>C581</xm:sqref>
            </x14:sparkline>
            <x14:sparkline>
              <xm:f>'Risk Results 1'!B582:B582</xm:f>
              <xm:sqref>C582</xm:sqref>
            </x14:sparkline>
            <x14:sparkline>
              <xm:f>'Risk Results 1'!B583:B583</xm:f>
              <xm:sqref>C583</xm:sqref>
            </x14:sparkline>
            <x14:sparkline>
              <xm:f>'Risk Results 1'!B584:B584</xm:f>
              <xm:sqref>C584</xm:sqref>
            </x14:sparkline>
            <x14:sparkline>
              <xm:f>'Risk Results 1'!B585:B585</xm:f>
              <xm:sqref>C585</xm:sqref>
            </x14:sparkline>
            <x14:sparkline>
              <xm:f>'Risk Results 1'!B586:B586</xm:f>
              <xm:sqref>C586</xm:sqref>
            </x14:sparkline>
            <x14:sparkline>
              <xm:f>'Risk Results 1'!B587:B587</xm:f>
              <xm:sqref>C587</xm:sqref>
            </x14:sparkline>
            <x14:sparkline>
              <xm:f>'Risk Results 1'!B588:B588</xm:f>
              <xm:sqref>C588</xm:sqref>
            </x14:sparkline>
            <x14:sparkline>
              <xm:f>'Risk Results 1'!B589:B589</xm:f>
              <xm:sqref>C589</xm:sqref>
            </x14:sparkline>
            <x14:sparkline>
              <xm:f>'Risk Results 1'!B590:B590</xm:f>
              <xm:sqref>C590</xm:sqref>
            </x14:sparkline>
            <x14:sparkline>
              <xm:f>'Risk Results 1'!B591:B591</xm:f>
              <xm:sqref>C591</xm:sqref>
            </x14:sparkline>
            <x14:sparkline>
              <xm:f>'Risk Results 1'!B592:B592</xm:f>
              <xm:sqref>C592</xm:sqref>
            </x14:sparkline>
            <x14:sparkline>
              <xm:f>'Risk Results 1'!B593:B593</xm:f>
              <xm:sqref>C593</xm:sqref>
            </x14:sparkline>
            <x14:sparkline>
              <xm:f>'Risk Results 1'!B594:B594</xm:f>
              <xm:sqref>C594</xm:sqref>
            </x14:sparkline>
            <x14:sparkline>
              <xm:f>'Risk Results 1'!B595:B595</xm:f>
              <xm:sqref>C595</xm:sqref>
            </x14:sparkline>
            <x14:sparkline>
              <xm:f>'Risk Results 1'!B596:B596</xm:f>
              <xm:sqref>C596</xm:sqref>
            </x14:sparkline>
            <x14:sparkline>
              <xm:f>'Risk Results 1'!B597:B597</xm:f>
              <xm:sqref>C597</xm:sqref>
            </x14:sparkline>
            <x14:sparkline>
              <xm:f>'Risk Results 1'!B598:B598</xm:f>
              <xm:sqref>C598</xm:sqref>
            </x14:sparkline>
            <x14:sparkline>
              <xm:f>'Risk Results 1'!B599:B599</xm:f>
              <xm:sqref>C599</xm:sqref>
            </x14:sparkline>
            <x14:sparkline>
              <xm:f>'Risk Results 1'!B600:B600</xm:f>
              <xm:sqref>C600</xm:sqref>
            </x14:sparkline>
            <x14:sparkline>
              <xm:f>'Risk Results 1'!B601:B601</xm:f>
              <xm:sqref>C601</xm:sqref>
            </x14:sparkline>
            <x14:sparkline>
              <xm:f>'Risk Results 1'!B602:B602</xm:f>
              <xm:sqref>C602</xm:sqref>
            </x14:sparkline>
            <x14:sparkline>
              <xm:f>'Risk Results 1'!B603:B603</xm:f>
              <xm:sqref>C603</xm:sqref>
            </x14:sparkline>
            <x14:sparkline>
              <xm:f>'Risk Results 1'!B604:B604</xm:f>
              <xm:sqref>C604</xm:sqref>
            </x14:sparkline>
            <x14:sparkline>
              <xm:f>'Risk Results 1'!B605:B605</xm:f>
              <xm:sqref>C605</xm:sqref>
            </x14:sparkline>
            <x14:sparkline>
              <xm:f>'Risk Results 1'!B606:B606</xm:f>
              <xm:sqref>C606</xm:sqref>
            </x14:sparkline>
            <x14:sparkline>
              <xm:f>'Risk Results 1'!B607:B607</xm:f>
              <xm:sqref>C607</xm:sqref>
            </x14:sparkline>
            <x14:sparkline>
              <xm:f>'Risk Results 1'!B608:B608</xm:f>
              <xm:sqref>C608</xm:sqref>
            </x14:sparkline>
            <x14:sparkline>
              <xm:f>'Risk Results 1'!B609:B609</xm:f>
              <xm:sqref>C609</xm:sqref>
            </x14:sparkline>
            <x14:sparkline>
              <xm:f>'Risk Results 1'!B610:B610</xm:f>
              <xm:sqref>C610</xm:sqref>
            </x14:sparkline>
            <x14:sparkline>
              <xm:f>'Risk Results 1'!B611:B611</xm:f>
              <xm:sqref>C611</xm:sqref>
            </x14:sparkline>
            <x14:sparkline>
              <xm:f>'Risk Results 1'!B612:B612</xm:f>
              <xm:sqref>C612</xm:sqref>
            </x14:sparkline>
            <x14:sparkline>
              <xm:f>'Risk Results 1'!B613:B613</xm:f>
              <xm:sqref>C613</xm:sqref>
            </x14:sparkline>
            <x14:sparkline>
              <xm:f>'Risk Results 1'!B614:B614</xm:f>
              <xm:sqref>C614</xm:sqref>
            </x14:sparkline>
            <x14:sparkline>
              <xm:f>'Risk Results 1'!B615:B615</xm:f>
              <xm:sqref>C615</xm:sqref>
            </x14:sparkline>
            <x14:sparkline>
              <xm:f>'Risk Results 1'!B616:B616</xm:f>
              <xm:sqref>C616</xm:sqref>
            </x14:sparkline>
            <x14:sparkline>
              <xm:f>'Risk Results 1'!B617:B617</xm:f>
              <xm:sqref>C617</xm:sqref>
            </x14:sparkline>
            <x14:sparkline>
              <xm:f>'Risk Results 1'!B618:B618</xm:f>
              <xm:sqref>C618</xm:sqref>
            </x14:sparkline>
            <x14:sparkline>
              <xm:f>'Risk Results 1'!B619:B619</xm:f>
              <xm:sqref>C619</xm:sqref>
            </x14:sparkline>
            <x14:sparkline>
              <xm:f>'Risk Results 1'!B620:B620</xm:f>
              <xm:sqref>C620</xm:sqref>
            </x14:sparkline>
            <x14:sparkline>
              <xm:f>'Risk Results 1'!B621:B621</xm:f>
              <xm:sqref>C621</xm:sqref>
            </x14:sparkline>
            <x14:sparkline>
              <xm:f>'Risk Results 1'!B622:B622</xm:f>
              <xm:sqref>C622</xm:sqref>
            </x14:sparkline>
            <x14:sparkline>
              <xm:f>'Risk Results 1'!B623:B623</xm:f>
              <xm:sqref>C623</xm:sqref>
            </x14:sparkline>
            <x14:sparkline>
              <xm:f>'Risk Results 1'!B624:B624</xm:f>
              <xm:sqref>C624</xm:sqref>
            </x14:sparkline>
            <x14:sparkline>
              <xm:f>'Risk Results 1'!B625:B625</xm:f>
              <xm:sqref>C625</xm:sqref>
            </x14:sparkline>
            <x14:sparkline>
              <xm:f>'Risk Results 1'!B626:B626</xm:f>
              <xm:sqref>C626</xm:sqref>
            </x14:sparkline>
            <x14:sparkline>
              <xm:f>'Risk Results 1'!B627:B627</xm:f>
              <xm:sqref>C627</xm:sqref>
            </x14:sparkline>
            <x14:sparkline>
              <xm:f>'Risk Results 1'!B628:B628</xm:f>
              <xm:sqref>C628</xm:sqref>
            </x14:sparkline>
            <x14:sparkline>
              <xm:f>'Risk Results 1'!B629:B629</xm:f>
              <xm:sqref>C629</xm:sqref>
            </x14:sparkline>
            <x14:sparkline>
              <xm:f>'Risk Results 1'!B630:B630</xm:f>
              <xm:sqref>C630</xm:sqref>
            </x14:sparkline>
            <x14:sparkline>
              <xm:f>'Risk Results 1'!B631:B631</xm:f>
              <xm:sqref>C631</xm:sqref>
            </x14:sparkline>
            <x14:sparkline>
              <xm:f>'Risk Results 1'!B632:B632</xm:f>
              <xm:sqref>C632</xm:sqref>
            </x14:sparkline>
            <x14:sparkline>
              <xm:f>'Risk Results 1'!B633:B633</xm:f>
              <xm:sqref>C633</xm:sqref>
            </x14:sparkline>
            <x14:sparkline>
              <xm:f>'Risk Results 1'!B634:B634</xm:f>
              <xm:sqref>C634</xm:sqref>
            </x14:sparkline>
            <x14:sparkline>
              <xm:f>'Risk Results 1'!B635:B635</xm:f>
              <xm:sqref>C635</xm:sqref>
            </x14:sparkline>
            <x14:sparkline>
              <xm:f>'Risk Results 1'!B636:B636</xm:f>
              <xm:sqref>C636</xm:sqref>
            </x14:sparkline>
            <x14:sparkline>
              <xm:f>'Risk Results 1'!B637:B637</xm:f>
              <xm:sqref>C637</xm:sqref>
            </x14:sparkline>
            <x14:sparkline>
              <xm:f>'Risk Results 1'!B638:B638</xm:f>
              <xm:sqref>C638</xm:sqref>
            </x14:sparkline>
            <x14:sparkline>
              <xm:f>'Risk Results 1'!B639:B639</xm:f>
              <xm:sqref>C639</xm:sqref>
            </x14:sparkline>
            <x14:sparkline>
              <xm:f>'Risk Results 1'!B640:B640</xm:f>
              <xm:sqref>C640</xm:sqref>
            </x14:sparkline>
            <x14:sparkline>
              <xm:f>'Risk Results 1'!B641:B641</xm:f>
              <xm:sqref>C641</xm:sqref>
            </x14:sparkline>
            <x14:sparkline>
              <xm:f>'Risk Results 1'!B642:B642</xm:f>
              <xm:sqref>C642</xm:sqref>
            </x14:sparkline>
            <x14:sparkline>
              <xm:f>'Risk Results 1'!B643:B643</xm:f>
              <xm:sqref>C643</xm:sqref>
            </x14:sparkline>
            <x14:sparkline>
              <xm:f>'Risk Results 1'!B644:B644</xm:f>
              <xm:sqref>C644</xm:sqref>
            </x14:sparkline>
            <x14:sparkline>
              <xm:f>'Risk Results 1'!B645:B645</xm:f>
              <xm:sqref>C645</xm:sqref>
            </x14:sparkline>
            <x14:sparkline>
              <xm:f>'Risk Results 1'!B646:B646</xm:f>
              <xm:sqref>C646</xm:sqref>
            </x14:sparkline>
            <x14:sparkline>
              <xm:f>'Risk Results 1'!B647:B647</xm:f>
              <xm:sqref>C647</xm:sqref>
            </x14:sparkline>
            <x14:sparkline>
              <xm:f>'Risk Results 1'!B648:B648</xm:f>
              <xm:sqref>C648</xm:sqref>
            </x14:sparkline>
            <x14:sparkline>
              <xm:f>'Risk Results 1'!B649:B649</xm:f>
              <xm:sqref>C649</xm:sqref>
            </x14:sparkline>
            <x14:sparkline>
              <xm:f>'Risk Results 1'!B650:B650</xm:f>
              <xm:sqref>C650</xm:sqref>
            </x14:sparkline>
            <x14:sparkline>
              <xm:f>'Risk Results 1'!B651:B651</xm:f>
              <xm:sqref>C651</xm:sqref>
            </x14:sparkline>
            <x14:sparkline>
              <xm:f>'Risk Results 1'!B652:B652</xm:f>
              <xm:sqref>C652</xm:sqref>
            </x14:sparkline>
            <x14:sparkline>
              <xm:f>'Risk Results 1'!B653:B653</xm:f>
              <xm:sqref>C653</xm:sqref>
            </x14:sparkline>
            <x14:sparkline>
              <xm:f>'Risk Results 1'!B654:B654</xm:f>
              <xm:sqref>C654</xm:sqref>
            </x14:sparkline>
            <x14:sparkline>
              <xm:f>'Risk Results 1'!B655:B655</xm:f>
              <xm:sqref>C655</xm:sqref>
            </x14:sparkline>
            <x14:sparkline>
              <xm:f>'Risk Results 1'!B656:B656</xm:f>
              <xm:sqref>C656</xm:sqref>
            </x14:sparkline>
            <x14:sparkline>
              <xm:f>'Risk Results 1'!B657:B657</xm:f>
              <xm:sqref>C657</xm:sqref>
            </x14:sparkline>
            <x14:sparkline>
              <xm:f>'Risk Results 1'!B658:B658</xm:f>
              <xm:sqref>C658</xm:sqref>
            </x14:sparkline>
            <x14:sparkline>
              <xm:f>'Risk Results 1'!B659:B659</xm:f>
              <xm:sqref>C659</xm:sqref>
            </x14:sparkline>
            <x14:sparkline>
              <xm:f>'Risk Results 1'!B660:B660</xm:f>
              <xm:sqref>C660</xm:sqref>
            </x14:sparkline>
            <x14:sparkline>
              <xm:f>'Risk Results 1'!B661:B661</xm:f>
              <xm:sqref>C661</xm:sqref>
            </x14:sparkline>
            <x14:sparkline>
              <xm:f>'Risk Results 1'!B662:B662</xm:f>
              <xm:sqref>C662</xm:sqref>
            </x14:sparkline>
            <x14:sparkline>
              <xm:f>'Risk Results 1'!B663:B663</xm:f>
              <xm:sqref>C663</xm:sqref>
            </x14:sparkline>
            <x14:sparkline>
              <xm:f>'Risk Results 1'!B664:B664</xm:f>
              <xm:sqref>C664</xm:sqref>
            </x14:sparkline>
            <x14:sparkline>
              <xm:f>'Risk Results 1'!B665:B665</xm:f>
              <xm:sqref>C665</xm:sqref>
            </x14:sparkline>
            <x14:sparkline>
              <xm:f>'Risk Results 1'!B666:B666</xm:f>
              <xm:sqref>C666</xm:sqref>
            </x14:sparkline>
            <x14:sparkline>
              <xm:f>'Risk Results 1'!B667:B667</xm:f>
              <xm:sqref>C667</xm:sqref>
            </x14:sparkline>
            <x14:sparkline>
              <xm:f>'Risk Results 1'!B668:B668</xm:f>
              <xm:sqref>C668</xm:sqref>
            </x14:sparkline>
            <x14:sparkline>
              <xm:f>'Risk Results 1'!B669:B669</xm:f>
              <xm:sqref>C669</xm:sqref>
            </x14:sparkline>
            <x14:sparkline>
              <xm:f>'Risk Results 1'!B670:B670</xm:f>
              <xm:sqref>C670</xm:sqref>
            </x14:sparkline>
            <x14:sparkline>
              <xm:f>'Risk Results 1'!B671:B671</xm:f>
              <xm:sqref>C671</xm:sqref>
            </x14:sparkline>
            <x14:sparkline>
              <xm:f>'Risk Results 1'!B672:B672</xm:f>
              <xm:sqref>C672</xm:sqref>
            </x14:sparkline>
            <x14:sparkline>
              <xm:f>'Risk Results 1'!B673:B673</xm:f>
              <xm:sqref>C673</xm:sqref>
            </x14:sparkline>
            <x14:sparkline>
              <xm:f>'Risk Results 1'!B674:B674</xm:f>
              <xm:sqref>C674</xm:sqref>
            </x14:sparkline>
            <x14:sparkline>
              <xm:f>'Risk Results 1'!B675:B675</xm:f>
              <xm:sqref>C675</xm:sqref>
            </x14:sparkline>
            <x14:sparkline>
              <xm:f>'Risk Results 1'!B676:B676</xm:f>
              <xm:sqref>C676</xm:sqref>
            </x14:sparkline>
            <x14:sparkline>
              <xm:f>'Risk Results 1'!B677:B677</xm:f>
              <xm:sqref>C677</xm:sqref>
            </x14:sparkline>
            <x14:sparkline>
              <xm:f>'Risk Results 1'!B678:B678</xm:f>
              <xm:sqref>C678</xm:sqref>
            </x14:sparkline>
            <x14:sparkline>
              <xm:f>'Risk Results 1'!B679:B679</xm:f>
              <xm:sqref>C679</xm:sqref>
            </x14:sparkline>
            <x14:sparkline>
              <xm:f>'Risk Results 1'!B680:B680</xm:f>
              <xm:sqref>C680</xm:sqref>
            </x14:sparkline>
            <x14:sparkline>
              <xm:f>'Risk Results 1'!B681:B681</xm:f>
              <xm:sqref>C681</xm:sqref>
            </x14:sparkline>
            <x14:sparkline>
              <xm:f>'Risk Results 1'!B682:B682</xm:f>
              <xm:sqref>C682</xm:sqref>
            </x14:sparkline>
            <x14:sparkline>
              <xm:f>'Risk Results 1'!B683:B683</xm:f>
              <xm:sqref>C683</xm:sqref>
            </x14:sparkline>
            <x14:sparkline>
              <xm:f>'Risk Results 1'!B684:B684</xm:f>
              <xm:sqref>C684</xm:sqref>
            </x14:sparkline>
            <x14:sparkline>
              <xm:f>'Risk Results 1'!B685:B685</xm:f>
              <xm:sqref>C685</xm:sqref>
            </x14:sparkline>
            <x14:sparkline>
              <xm:f>'Risk Results 1'!B686:B686</xm:f>
              <xm:sqref>C686</xm:sqref>
            </x14:sparkline>
            <x14:sparkline>
              <xm:f>'Risk Results 1'!B687:B687</xm:f>
              <xm:sqref>C687</xm:sqref>
            </x14:sparkline>
            <x14:sparkline>
              <xm:f>'Risk Results 1'!B688:B688</xm:f>
              <xm:sqref>C688</xm:sqref>
            </x14:sparkline>
            <x14:sparkline>
              <xm:f>'Risk Results 1'!B689:B689</xm:f>
              <xm:sqref>C689</xm:sqref>
            </x14:sparkline>
            <x14:sparkline>
              <xm:f>'Risk Results 1'!B690:B690</xm:f>
              <xm:sqref>C690</xm:sqref>
            </x14:sparkline>
            <x14:sparkline>
              <xm:f>'Risk Results 1'!B691:B691</xm:f>
              <xm:sqref>C691</xm:sqref>
            </x14:sparkline>
            <x14:sparkline>
              <xm:f>'Risk Results 1'!B692:B692</xm:f>
              <xm:sqref>C692</xm:sqref>
            </x14:sparkline>
            <x14:sparkline>
              <xm:f>'Risk Results 1'!B693:B693</xm:f>
              <xm:sqref>C693</xm:sqref>
            </x14:sparkline>
            <x14:sparkline>
              <xm:f>'Risk Results 1'!B694:B694</xm:f>
              <xm:sqref>C694</xm:sqref>
            </x14:sparkline>
            <x14:sparkline>
              <xm:f>'Risk Results 1'!B695:B695</xm:f>
              <xm:sqref>C695</xm:sqref>
            </x14:sparkline>
            <x14:sparkline>
              <xm:f>'Risk Results 1'!B696:B696</xm:f>
              <xm:sqref>C696</xm:sqref>
            </x14:sparkline>
            <x14:sparkline>
              <xm:f>'Risk Results 1'!B697:B697</xm:f>
              <xm:sqref>C697</xm:sqref>
            </x14:sparkline>
            <x14:sparkline>
              <xm:f>'Risk Results 1'!B698:B698</xm:f>
              <xm:sqref>C698</xm:sqref>
            </x14:sparkline>
            <x14:sparkline>
              <xm:f>'Risk Results 1'!B699:B699</xm:f>
              <xm:sqref>C699</xm:sqref>
            </x14:sparkline>
            <x14:sparkline>
              <xm:f>'Risk Results 1'!B700:B700</xm:f>
              <xm:sqref>C700</xm:sqref>
            </x14:sparkline>
            <x14:sparkline>
              <xm:f>'Risk Results 1'!B701:B701</xm:f>
              <xm:sqref>C701</xm:sqref>
            </x14:sparkline>
            <x14:sparkline>
              <xm:f>'Risk Results 1'!B702:B702</xm:f>
              <xm:sqref>C702</xm:sqref>
            </x14:sparkline>
            <x14:sparkline>
              <xm:f>'Risk Results 1'!B703:B703</xm:f>
              <xm:sqref>C703</xm:sqref>
            </x14:sparkline>
            <x14:sparkline>
              <xm:f>'Risk Results 1'!B704:B704</xm:f>
              <xm:sqref>C704</xm:sqref>
            </x14:sparkline>
            <x14:sparkline>
              <xm:f>'Risk Results 1'!B705:B705</xm:f>
              <xm:sqref>C705</xm:sqref>
            </x14:sparkline>
            <x14:sparkline>
              <xm:f>'Risk Results 1'!B706:B706</xm:f>
              <xm:sqref>C706</xm:sqref>
            </x14:sparkline>
            <x14:sparkline>
              <xm:f>'Risk Results 1'!B707:B707</xm:f>
              <xm:sqref>C707</xm:sqref>
            </x14:sparkline>
            <x14:sparkline>
              <xm:f>'Risk Results 1'!B708:B708</xm:f>
              <xm:sqref>C708</xm:sqref>
            </x14:sparkline>
            <x14:sparkline>
              <xm:f>'Risk Results 1'!B709:B709</xm:f>
              <xm:sqref>C709</xm:sqref>
            </x14:sparkline>
            <x14:sparkline>
              <xm:f>'Risk Results 1'!B710:B710</xm:f>
              <xm:sqref>C710</xm:sqref>
            </x14:sparkline>
            <x14:sparkline>
              <xm:f>'Risk Results 1'!B711:B711</xm:f>
              <xm:sqref>C711</xm:sqref>
            </x14:sparkline>
            <x14:sparkline>
              <xm:f>'Risk Results 1'!B712:B712</xm:f>
              <xm:sqref>C712</xm:sqref>
            </x14:sparkline>
            <x14:sparkline>
              <xm:f>'Risk Results 1'!B713:B713</xm:f>
              <xm:sqref>C713</xm:sqref>
            </x14:sparkline>
            <x14:sparkline>
              <xm:f>'Risk Results 1'!B714:B714</xm:f>
              <xm:sqref>C714</xm:sqref>
            </x14:sparkline>
            <x14:sparkline>
              <xm:f>'Risk Results 1'!B715:B715</xm:f>
              <xm:sqref>C715</xm:sqref>
            </x14:sparkline>
            <x14:sparkline>
              <xm:f>'Risk Results 1'!B716:B716</xm:f>
              <xm:sqref>C716</xm:sqref>
            </x14:sparkline>
            <x14:sparkline>
              <xm:f>'Risk Results 1'!B717:B717</xm:f>
              <xm:sqref>C717</xm:sqref>
            </x14:sparkline>
            <x14:sparkline>
              <xm:f>'Risk Results 1'!B718:B718</xm:f>
              <xm:sqref>C718</xm:sqref>
            </x14:sparkline>
            <x14:sparkline>
              <xm:f>'Risk Results 1'!B719:B719</xm:f>
              <xm:sqref>C719</xm:sqref>
            </x14:sparkline>
            <x14:sparkline>
              <xm:f>'Risk Results 1'!B720:B720</xm:f>
              <xm:sqref>C720</xm:sqref>
            </x14:sparkline>
            <x14:sparkline>
              <xm:f>'Risk Results 1'!B721:B721</xm:f>
              <xm:sqref>C721</xm:sqref>
            </x14:sparkline>
            <x14:sparkline>
              <xm:f>'Risk Results 1'!B722:B722</xm:f>
              <xm:sqref>C722</xm:sqref>
            </x14:sparkline>
            <x14:sparkline>
              <xm:f>'Risk Results 1'!B723:B723</xm:f>
              <xm:sqref>C723</xm:sqref>
            </x14:sparkline>
            <x14:sparkline>
              <xm:f>'Risk Results 1'!B724:B724</xm:f>
              <xm:sqref>C724</xm:sqref>
            </x14:sparkline>
            <x14:sparkline>
              <xm:f>'Risk Results 1'!B725:B725</xm:f>
              <xm:sqref>C725</xm:sqref>
            </x14:sparkline>
            <x14:sparkline>
              <xm:f>'Risk Results 1'!B726:B726</xm:f>
              <xm:sqref>C726</xm:sqref>
            </x14:sparkline>
            <x14:sparkline>
              <xm:f>'Risk Results 1'!B727:B727</xm:f>
              <xm:sqref>C727</xm:sqref>
            </x14:sparkline>
            <x14:sparkline>
              <xm:f>'Risk Results 1'!B728:B728</xm:f>
              <xm:sqref>C728</xm:sqref>
            </x14:sparkline>
            <x14:sparkline>
              <xm:f>'Risk Results 1'!B729:B729</xm:f>
              <xm:sqref>C729</xm:sqref>
            </x14:sparkline>
            <x14:sparkline>
              <xm:f>'Risk Results 1'!B730:B730</xm:f>
              <xm:sqref>C730</xm:sqref>
            </x14:sparkline>
            <x14:sparkline>
              <xm:f>'Risk Results 1'!B731:B731</xm:f>
              <xm:sqref>C731</xm:sqref>
            </x14:sparkline>
            <x14:sparkline>
              <xm:f>'Risk Results 1'!B732:B732</xm:f>
              <xm:sqref>C732</xm:sqref>
            </x14:sparkline>
            <x14:sparkline>
              <xm:f>'Risk Results 1'!B733:B733</xm:f>
              <xm:sqref>C733</xm:sqref>
            </x14:sparkline>
            <x14:sparkline>
              <xm:f>'Risk Results 1'!B734:B734</xm:f>
              <xm:sqref>C734</xm:sqref>
            </x14:sparkline>
            <x14:sparkline>
              <xm:f>'Risk Results 1'!B735:B735</xm:f>
              <xm:sqref>C735</xm:sqref>
            </x14:sparkline>
            <x14:sparkline>
              <xm:f>'Risk Results 1'!B736:B736</xm:f>
              <xm:sqref>C736</xm:sqref>
            </x14:sparkline>
            <x14:sparkline>
              <xm:f>'Risk Results 1'!B737:B737</xm:f>
              <xm:sqref>C737</xm:sqref>
            </x14:sparkline>
            <x14:sparkline>
              <xm:f>'Risk Results 1'!B738:B738</xm:f>
              <xm:sqref>C738</xm:sqref>
            </x14:sparkline>
            <x14:sparkline>
              <xm:f>'Risk Results 1'!B739:B739</xm:f>
              <xm:sqref>C739</xm:sqref>
            </x14:sparkline>
            <x14:sparkline>
              <xm:f>'Risk Results 1'!B740:B740</xm:f>
              <xm:sqref>C740</xm:sqref>
            </x14:sparkline>
            <x14:sparkline>
              <xm:f>'Risk Results 1'!B741:B741</xm:f>
              <xm:sqref>C741</xm:sqref>
            </x14:sparkline>
            <x14:sparkline>
              <xm:f>'Risk Results 1'!B742:B742</xm:f>
              <xm:sqref>C742</xm:sqref>
            </x14:sparkline>
            <x14:sparkline>
              <xm:f>'Risk Results 1'!B743:B743</xm:f>
              <xm:sqref>C743</xm:sqref>
            </x14:sparkline>
            <x14:sparkline>
              <xm:f>'Risk Results 1'!B744:B744</xm:f>
              <xm:sqref>C744</xm:sqref>
            </x14:sparkline>
            <x14:sparkline>
              <xm:f>'Risk Results 1'!B745:B745</xm:f>
              <xm:sqref>C745</xm:sqref>
            </x14:sparkline>
            <x14:sparkline>
              <xm:f>'Risk Results 1'!B746:B746</xm:f>
              <xm:sqref>C746</xm:sqref>
            </x14:sparkline>
            <x14:sparkline>
              <xm:f>'Risk Results 1'!B747:B747</xm:f>
              <xm:sqref>C747</xm:sqref>
            </x14:sparkline>
            <x14:sparkline>
              <xm:f>'Risk Results 1'!B748:B748</xm:f>
              <xm:sqref>C748</xm:sqref>
            </x14:sparkline>
            <x14:sparkline>
              <xm:f>'Risk Results 1'!B749:B749</xm:f>
              <xm:sqref>C749</xm:sqref>
            </x14:sparkline>
            <x14:sparkline>
              <xm:f>'Risk Results 1'!B750:B750</xm:f>
              <xm:sqref>C750</xm:sqref>
            </x14:sparkline>
            <x14:sparkline>
              <xm:f>'Risk Results 1'!B751:B751</xm:f>
              <xm:sqref>C751</xm:sqref>
            </x14:sparkline>
            <x14:sparkline>
              <xm:f>'Risk Results 1'!B752:B752</xm:f>
              <xm:sqref>C752</xm:sqref>
            </x14:sparkline>
            <x14:sparkline>
              <xm:f>'Risk Results 1'!B753:B753</xm:f>
              <xm:sqref>C753</xm:sqref>
            </x14:sparkline>
            <x14:sparkline>
              <xm:f>'Risk Results 1'!B754:B754</xm:f>
              <xm:sqref>C754</xm:sqref>
            </x14:sparkline>
            <x14:sparkline>
              <xm:f>'Risk Results 1'!B755:B755</xm:f>
              <xm:sqref>C755</xm:sqref>
            </x14:sparkline>
            <x14:sparkline>
              <xm:f>'Risk Results 1'!B756:B756</xm:f>
              <xm:sqref>C756</xm:sqref>
            </x14:sparkline>
            <x14:sparkline>
              <xm:f>'Risk Results 1'!B757:B757</xm:f>
              <xm:sqref>C757</xm:sqref>
            </x14:sparkline>
            <x14:sparkline>
              <xm:f>'Risk Results 1'!B758:B758</xm:f>
              <xm:sqref>C758</xm:sqref>
            </x14:sparkline>
            <x14:sparkline>
              <xm:f>'Risk Results 1'!B759:B759</xm:f>
              <xm:sqref>C759</xm:sqref>
            </x14:sparkline>
            <x14:sparkline>
              <xm:f>'Risk Results 1'!B760:B760</xm:f>
              <xm:sqref>C760</xm:sqref>
            </x14:sparkline>
            <x14:sparkline>
              <xm:f>'Risk Results 1'!B761:B761</xm:f>
              <xm:sqref>C761</xm:sqref>
            </x14:sparkline>
            <x14:sparkline>
              <xm:f>'Risk Results 1'!B762:B762</xm:f>
              <xm:sqref>C762</xm:sqref>
            </x14:sparkline>
            <x14:sparkline>
              <xm:f>'Risk Results 1'!B763:B763</xm:f>
              <xm:sqref>C763</xm:sqref>
            </x14:sparkline>
            <x14:sparkline>
              <xm:f>'Risk Results 1'!B764:B764</xm:f>
              <xm:sqref>C764</xm:sqref>
            </x14:sparkline>
            <x14:sparkline>
              <xm:f>'Risk Results 1'!B765:B765</xm:f>
              <xm:sqref>C765</xm:sqref>
            </x14:sparkline>
            <x14:sparkline>
              <xm:f>'Risk Results 1'!B766:B766</xm:f>
              <xm:sqref>C766</xm:sqref>
            </x14:sparkline>
            <x14:sparkline>
              <xm:f>'Risk Results 1'!B767:B767</xm:f>
              <xm:sqref>C767</xm:sqref>
            </x14:sparkline>
            <x14:sparkline>
              <xm:f>'Risk Results 1'!B768:B768</xm:f>
              <xm:sqref>C768</xm:sqref>
            </x14:sparkline>
            <x14:sparkline>
              <xm:f>'Risk Results 1'!B769:B769</xm:f>
              <xm:sqref>C769</xm:sqref>
            </x14:sparkline>
            <x14:sparkline>
              <xm:f>'Risk Results 1'!B770:B770</xm:f>
              <xm:sqref>C770</xm:sqref>
            </x14:sparkline>
            <x14:sparkline>
              <xm:f>'Risk Results 1'!B771:B771</xm:f>
              <xm:sqref>C771</xm:sqref>
            </x14:sparkline>
            <x14:sparkline>
              <xm:f>'Risk Results 1'!B772:B772</xm:f>
              <xm:sqref>C772</xm:sqref>
            </x14:sparkline>
            <x14:sparkline>
              <xm:f>'Risk Results 1'!B773:B773</xm:f>
              <xm:sqref>C773</xm:sqref>
            </x14:sparkline>
            <x14:sparkline>
              <xm:f>'Risk Results 1'!B774:B774</xm:f>
              <xm:sqref>C774</xm:sqref>
            </x14:sparkline>
            <x14:sparkline>
              <xm:f>'Risk Results 1'!B775:B775</xm:f>
              <xm:sqref>C775</xm:sqref>
            </x14:sparkline>
            <x14:sparkline>
              <xm:f>'Risk Results 1'!B776:B776</xm:f>
              <xm:sqref>C776</xm:sqref>
            </x14:sparkline>
            <x14:sparkline>
              <xm:f>'Risk Results 1'!B777:B777</xm:f>
              <xm:sqref>C777</xm:sqref>
            </x14:sparkline>
            <x14:sparkline>
              <xm:f>'Risk Results 1'!B778:B778</xm:f>
              <xm:sqref>C778</xm:sqref>
            </x14:sparkline>
            <x14:sparkline>
              <xm:f>'Risk Results 1'!B779:B779</xm:f>
              <xm:sqref>C779</xm:sqref>
            </x14:sparkline>
            <x14:sparkline>
              <xm:f>'Risk Results 1'!B780:B780</xm:f>
              <xm:sqref>C780</xm:sqref>
            </x14:sparkline>
            <x14:sparkline>
              <xm:f>'Risk Results 1'!B781:B781</xm:f>
              <xm:sqref>C781</xm:sqref>
            </x14:sparkline>
            <x14:sparkline>
              <xm:f>'Risk Results 1'!B782:B782</xm:f>
              <xm:sqref>C782</xm:sqref>
            </x14:sparkline>
            <x14:sparkline>
              <xm:f>'Risk Results 1'!B783:B783</xm:f>
              <xm:sqref>C783</xm:sqref>
            </x14:sparkline>
            <x14:sparkline>
              <xm:f>'Risk Results 1'!B784:B784</xm:f>
              <xm:sqref>C784</xm:sqref>
            </x14:sparkline>
            <x14:sparkline>
              <xm:f>'Risk Results 1'!B785:B785</xm:f>
              <xm:sqref>C785</xm:sqref>
            </x14:sparkline>
            <x14:sparkline>
              <xm:f>'Risk Results 1'!B786:B786</xm:f>
              <xm:sqref>C786</xm:sqref>
            </x14:sparkline>
            <x14:sparkline>
              <xm:f>'Risk Results 1'!B787:B787</xm:f>
              <xm:sqref>C787</xm:sqref>
            </x14:sparkline>
            <x14:sparkline>
              <xm:f>'Risk Results 1'!B788:B788</xm:f>
              <xm:sqref>C788</xm:sqref>
            </x14:sparkline>
            <x14:sparkline>
              <xm:f>'Risk Results 1'!B789:B789</xm:f>
              <xm:sqref>C789</xm:sqref>
            </x14:sparkline>
            <x14:sparkline>
              <xm:f>'Risk Results 1'!B790:B790</xm:f>
              <xm:sqref>C790</xm:sqref>
            </x14:sparkline>
            <x14:sparkline>
              <xm:f>'Risk Results 1'!B791:B791</xm:f>
              <xm:sqref>C791</xm:sqref>
            </x14:sparkline>
            <x14:sparkline>
              <xm:f>'Risk Results 1'!B792:B792</xm:f>
              <xm:sqref>C792</xm:sqref>
            </x14:sparkline>
            <x14:sparkline>
              <xm:f>'Risk Results 1'!B793:B793</xm:f>
              <xm:sqref>C793</xm:sqref>
            </x14:sparkline>
            <x14:sparkline>
              <xm:f>'Risk Results 1'!B794:B794</xm:f>
              <xm:sqref>C794</xm:sqref>
            </x14:sparkline>
            <x14:sparkline>
              <xm:f>'Risk Results 1'!B795:B795</xm:f>
              <xm:sqref>C795</xm:sqref>
            </x14:sparkline>
            <x14:sparkline>
              <xm:f>'Risk Results 1'!B796:B796</xm:f>
              <xm:sqref>C796</xm:sqref>
            </x14:sparkline>
            <x14:sparkline>
              <xm:f>'Risk Results 1'!B797:B797</xm:f>
              <xm:sqref>C797</xm:sqref>
            </x14:sparkline>
            <x14:sparkline>
              <xm:f>'Risk Results 1'!B798:B798</xm:f>
              <xm:sqref>C798</xm:sqref>
            </x14:sparkline>
            <x14:sparkline>
              <xm:f>'Risk Results 1'!B799:B799</xm:f>
              <xm:sqref>C799</xm:sqref>
            </x14:sparkline>
            <x14:sparkline>
              <xm:f>'Risk Results 1'!B800:B800</xm:f>
              <xm:sqref>C800</xm:sqref>
            </x14:sparkline>
            <x14:sparkline>
              <xm:f>'Risk Results 1'!B801:B801</xm:f>
              <xm:sqref>C801</xm:sqref>
            </x14:sparkline>
            <x14:sparkline>
              <xm:f>'Risk Results 1'!B802:B802</xm:f>
              <xm:sqref>C802</xm:sqref>
            </x14:sparkline>
            <x14:sparkline>
              <xm:f>'Risk Results 1'!B803:B803</xm:f>
              <xm:sqref>C803</xm:sqref>
            </x14:sparkline>
            <x14:sparkline>
              <xm:f>'Risk Results 1'!B804:B804</xm:f>
              <xm:sqref>C804</xm:sqref>
            </x14:sparkline>
            <x14:sparkline>
              <xm:f>'Risk Results 1'!B805:B805</xm:f>
              <xm:sqref>C805</xm:sqref>
            </x14:sparkline>
            <x14:sparkline>
              <xm:f>'Risk Results 1'!B806:B806</xm:f>
              <xm:sqref>C806</xm:sqref>
            </x14:sparkline>
            <x14:sparkline>
              <xm:f>'Risk Results 1'!B807:B807</xm:f>
              <xm:sqref>C807</xm:sqref>
            </x14:sparkline>
            <x14:sparkline>
              <xm:f>'Risk Results 1'!B808:B808</xm:f>
              <xm:sqref>C808</xm:sqref>
            </x14:sparkline>
            <x14:sparkline>
              <xm:f>'Risk Results 1'!B809:B809</xm:f>
              <xm:sqref>C809</xm:sqref>
            </x14:sparkline>
            <x14:sparkline>
              <xm:f>'Risk Results 1'!B810:B810</xm:f>
              <xm:sqref>C810</xm:sqref>
            </x14:sparkline>
            <x14:sparkline>
              <xm:f>'Risk Results 1'!B811:B811</xm:f>
              <xm:sqref>C811</xm:sqref>
            </x14:sparkline>
            <x14:sparkline>
              <xm:f>'Risk Results 1'!B812:B812</xm:f>
              <xm:sqref>C812</xm:sqref>
            </x14:sparkline>
            <x14:sparkline>
              <xm:f>'Risk Results 1'!B813:B813</xm:f>
              <xm:sqref>C813</xm:sqref>
            </x14:sparkline>
            <x14:sparkline>
              <xm:f>'Risk Results 1'!B814:B814</xm:f>
              <xm:sqref>C814</xm:sqref>
            </x14:sparkline>
            <x14:sparkline>
              <xm:f>'Risk Results 1'!B815:B815</xm:f>
              <xm:sqref>C815</xm:sqref>
            </x14:sparkline>
            <x14:sparkline>
              <xm:f>'Risk Results 1'!B816:B816</xm:f>
              <xm:sqref>C816</xm:sqref>
            </x14:sparkline>
            <x14:sparkline>
              <xm:f>'Risk Results 1'!B817:B817</xm:f>
              <xm:sqref>C817</xm:sqref>
            </x14:sparkline>
            <x14:sparkline>
              <xm:f>'Risk Results 1'!B818:B818</xm:f>
              <xm:sqref>C818</xm:sqref>
            </x14:sparkline>
            <x14:sparkline>
              <xm:f>'Risk Results 1'!B819:B819</xm:f>
              <xm:sqref>C819</xm:sqref>
            </x14:sparkline>
            <x14:sparkline>
              <xm:f>'Risk Results 1'!B820:B820</xm:f>
              <xm:sqref>C820</xm:sqref>
            </x14:sparkline>
            <x14:sparkline>
              <xm:f>'Risk Results 1'!B821:B821</xm:f>
              <xm:sqref>C821</xm:sqref>
            </x14:sparkline>
            <x14:sparkline>
              <xm:f>'Risk Results 1'!B822:B822</xm:f>
              <xm:sqref>C822</xm:sqref>
            </x14:sparkline>
            <x14:sparkline>
              <xm:f>'Risk Results 1'!B823:B823</xm:f>
              <xm:sqref>C823</xm:sqref>
            </x14:sparkline>
            <x14:sparkline>
              <xm:f>'Risk Results 1'!B824:B824</xm:f>
              <xm:sqref>C824</xm:sqref>
            </x14:sparkline>
            <x14:sparkline>
              <xm:f>'Risk Results 1'!B825:B825</xm:f>
              <xm:sqref>C825</xm:sqref>
            </x14:sparkline>
            <x14:sparkline>
              <xm:f>'Risk Results 1'!B826:B826</xm:f>
              <xm:sqref>C826</xm:sqref>
            </x14:sparkline>
            <x14:sparkline>
              <xm:f>'Risk Results 1'!B827:B827</xm:f>
              <xm:sqref>C827</xm:sqref>
            </x14:sparkline>
            <x14:sparkline>
              <xm:f>'Risk Results 1'!B828:B828</xm:f>
              <xm:sqref>C828</xm:sqref>
            </x14:sparkline>
            <x14:sparkline>
              <xm:f>'Risk Results 1'!B829:B829</xm:f>
              <xm:sqref>C829</xm:sqref>
            </x14:sparkline>
            <x14:sparkline>
              <xm:f>'Risk Results 1'!B830:B830</xm:f>
              <xm:sqref>C830</xm:sqref>
            </x14:sparkline>
            <x14:sparkline>
              <xm:f>'Risk Results 1'!B831:B831</xm:f>
              <xm:sqref>C831</xm:sqref>
            </x14:sparkline>
            <x14:sparkline>
              <xm:f>'Risk Results 1'!B832:B832</xm:f>
              <xm:sqref>C832</xm:sqref>
            </x14:sparkline>
            <x14:sparkline>
              <xm:f>'Risk Results 1'!B833:B833</xm:f>
              <xm:sqref>C833</xm:sqref>
            </x14:sparkline>
            <x14:sparkline>
              <xm:f>'Risk Results 1'!B834:B834</xm:f>
              <xm:sqref>C834</xm:sqref>
            </x14:sparkline>
            <x14:sparkline>
              <xm:f>'Risk Results 1'!B835:B835</xm:f>
              <xm:sqref>C835</xm:sqref>
            </x14:sparkline>
            <x14:sparkline>
              <xm:f>'Risk Results 1'!B836:B836</xm:f>
              <xm:sqref>C836</xm:sqref>
            </x14:sparkline>
            <x14:sparkline>
              <xm:f>'Risk Results 1'!B837:B837</xm:f>
              <xm:sqref>C837</xm:sqref>
            </x14:sparkline>
            <x14:sparkline>
              <xm:f>'Risk Results 1'!B838:B838</xm:f>
              <xm:sqref>C838</xm:sqref>
            </x14:sparkline>
            <x14:sparkline>
              <xm:f>'Risk Results 1'!B839:B839</xm:f>
              <xm:sqref>C839</xm:sqref>
            </x14:sparkline>
            <x14:sparkline>
              <xm:f>'Risk Results 1'!B840:B840</xm:f>
              <xm:sqref>C840</xm:sqref>
            </x14:sparkline>
            <x14:sparkline>
              <xm:f>'Risk Results 1'!B841:B841</xm:f>
              <xm:sqref>C841</xm:sqref>
            </x14:sparkline>
            <x14:sparkline>
              <xm:f>'Risk Results 1'!B842:B842</xm:f>
              <xm:sqref>C842</xm:sqref>
            </x14:sparkline>
            <x14:sparkline>
              <xm:f>'Risk Results 1'!B843:B843</xm:f>
              <xm:sqref>C843</xm:sqref>
            </x14:sparkline>
            <x14:sparkline>
              <xm:f>'Risk Results 1'!B844:B844</xm:f>
              <xm:sqref>C844</xm:sqref>
            </x14:sparkline>
            <x14:sparkline>
              <xm:f>'Risk Results 1'!B845:B845</xm:f>
              <xm:sqref>C845</xm:sqref>
            </x14:sparkline>
            <x14:sparkline>
              <xm:f>'Risk Results 1'!B846:B846</xm:f>
              <xm:sqref>C846</xm:sqref>
            </x14:sparkline>
            <x14:sparkline>
              <xm:f>'Risk Results 1'!B847:B847</xm:f>
              <xm:sqref>C847</xm:sqref>
            </x14:sparkline>
            <x14:sparkline>
              <xm:f>'Risk Results 1'!B848:B848</xm:f>
              <xm:sqref>C848</xm:sqref>
            </x14:sparkline>
            <x14:sparkline>
              <xm:f>'Risk Results 1'!B849:B849</xm:f>
              <xm:sqref>C849</xm:sqref>
            </x14:sparkline>
            <x14:sparkline>
              <xm:f>'Risk Results 1'!B850:B850</xm:f>
              <xm:sqref>C850</xm:sqref>
            </x14:sparkline>
            <x14:sparkline>
              <xm:f>'Risk Results 1'!B851:B851</xm:f>
              <xm:sqref>C851</xm:sqref>
            </x14:sparkline>
            <x14:sparkline>
              <xm:f>'Risk Results 1'!B852:B852</xm:f>
              <xm:sqref>C852</xm:sqref>
            </x14:sparkline>
            <x14:sparkline>
              <xm:f>'Risk Results 1'!B853:B853</xm:f>
              <xm:sqref>C853</xm:sqref>
            </x14:sparkline>
            <x14:sparkline>
              <xm:f>'Risk Results 1'!B854:B854</xm:f>
              <xm:sqref>C854</xm:sqref>
            </x14:sparkline>
            <x14:sparkline>
              <xm:f>'Risk Results 1'!B855:B855</xm:f>
              <xm:sqref>C855</xm:sqref>
            </x14:sparkline>
            <x14:sparkline>
              <xm:f>'Risk Results 1'!B856:B856</xm:f>
              <xm:sqref>C856</xm:sqref>
            </x14:sparkline>
            <x14:sparkline>
              <xm:f>'Risk Results 1'!B857:B857</xm:f>
              <xm:sqref>C857</xm:sqref>
            </x14:sparkline>
            <x14:sparkline>
              <xm:f>'Risk Results 1'!B858:B858</xm:f>
              <xm:sqref>C858</xm:sqref>
            </x14:sparkline>
            <x14:sparkline>
              <xm:f>'Risk Results 1'!B859:B859</xm:f>
              <xm:sqref>C859</xm:sqref>
            </x14:sparkline>
            <x14:sparkline>
              <xm:f>'Risk Results 1'!B860:B860</xm:f>
              <xm:sqref>C860</xm:sqref>
            </x14:sparkline>
            <x14:sparkline>
              <xm:f>'Risk Results 1'!B861:B861</xm:f>
              <xm:sqref>C861</xm:sqref>
            </x14:sparkline>
            <x14:sparkline>
              <xm:f>'Risk Results 1'!B862:B862</xm:f>
              <xm:sqref>C862</xm:sqref>
            </x14:sparkline>
            <x14:sparkline>
              <xm:f>'Risk Results 1'!B863:B863</xm:f>
              <xm:sqref>C863</xm:sqref>
            </x14:sparkline>
            <x14:sparkline>
              <xm:f>'Risk Results 1'!B864:B864</xm:f>
              <xm:sqref>C864</xm:sqref>
            </x14:sparkline>
            <x14:sparkline>
              <xm:f>'Risk Results 1'!B865:B865</xm:f>
              <xm:sqref>C865</xm:sqref>
            </x14:sparkline>
            <x14:sparkline>
              <xm:f>'Risk Results 1'!B866:B866</xm:f>
              <xm:sqref>C866</xm:sqref>
            </x14:sparkline>
            <x14:sparkline>
              <xm:f>'Risk Results 1'!B867:B867</xm:f>
              <xm:sqref>C867</xm:sqref>
            </x14:sparkline>
            <x14:sparkline>
              <xm:f>'Risk Results 1'!B868:B868</xm:f>
              <xm:sqref>C868</xm:sqref>
            </x14:sparkline>
            <x14:sparkline>
              <xm:f>'Risk Results 1'!B869:B869</xm:f>
              <xm:sqref>C869</xm:sqref>
            </x14:sparkline>
            <x14:sparkline>
              <xm:f>'Risk Results 1'!B870:B870</xm:f>
              <xm:sqref>C870</xm:sqref>
            </x14:sparkline>
            <x14:sparkline>
              <xm:f>'Risk Results 1'!B871:B871</xm:f>
              <xm:sqref>C871</xm:sqref>
            </x14:sparkline>
            <x14:sparkline>
              <xm:f>'Risk Results 1'!B872:B872</xm:f>
              <xm:sqref>C872</xm:sqref>
            </x14:sparkline>
            <x14:sparkline>
              <xm:f>'Risk Results 1'!B873:B873</xm:f>
              <xm:sqref>C873</xm:sqref>
            </x14:sparkline>
            <x14:sparkline>
              <xm:f>'Risk Results 1'!B874:B874</xm:f>
              <xm:sqref>C874</xm:sqref>
            </x14:sparkline>
            <x14:sparkline>
              <xm:f>'Risk Results 1'!B875:B875</xm:f>
              <xm:sqref>C875</xm:sqref>
            </x14:sparkline>
            <x14:sparkline>
              <xm:f>'Risk Results 1'!B876:B876</xm:f>
              <xm:sqref>C876</xm:sqref>
            </x14:sparkline>
            <x14:sparkline>
              <xm:f>'Risk Results 1'!B877:B877</xm:f>
              <xm:sqref>C877</xm:sqref>
            </x14:sparkline>
            <x14:sparkline>
              <xm:f>'Risk Results 1'!B878:B878</xm:f>
              <xm:sqref>C878</xm:sqref>
            </x14:sparkline>
            <x14:sparkline>
              <xm:f>'Risk Results 1'!B879:B879</xm:f>
              <xm:sqref>C879</xm:sqref>
            </x14:sparkline>
            <x14:sparkline>
              <xm:f>'Risk Results 1'!B880:B880</xm:f>
              <xm:sqref>C880</xm:sqref>
            </x14:sparkline>
            <x14:sparkline>
              <xm:f>'Risk Results 1'!B881:B881</xm:f>
              <xm:sqref>C881</xm:sqref>
            </x14:sparkline>
            <x14:sparkline>
              <xm:f>'Risk Results 1'!B882:B882</xm:f>
              <xm:sqref>C882</xm:sqref>
            </x14:sparkline>
            <x14:sparkline>
              <xm:f>'Risk Results 1'!B883:B883</xm:f>
              <xm:sqref>C883</xm:sqref>
            </x14:sparkline>
            <x14:sparkline>
              <xm:f>'Risk Results 1'!B884:B884</xm:f>
              <xm:sqref>C884</xm:sqref>
            </x14:sparkline>
            <x14:sparkline>
              <xm:f>'Risk Results 1'!B885:B885</xm:f>
              <xm:sqref>C885</xm:sqref>
            </x14:sparkline>
            <x14:sparkline>
              <xm:f>'Risk Results 1'!B886:B886</xm:f>
              <xm:sqref>C886</xm:sqref>
            </x14:sparkline>
            <x14:sparkline>
              <xm:f>'Risk Results 1'!B887:B887</xm:f>
              <xm:sqref>C887</xm:sqref>
            </x14:sparkline>
            <x14:sparkline>
              <xm:f>'Risk Results 1'!B888:B888</xm:f>
              <xm:sqref>C888</xm:sqref>
            </x14:sparkline>
            <x14:sparkline>
              <xm:f>'Risk Results 1'!B889:B889</xm:f>
              <xm:sqref>C889</xm:sqref>
            </x14:sparkline>
            <x14:sparkline>
              <xm:f>'Risk Results 1'!B890:B890</xm:f>
              <xm:sqref>C890</xm:sqref>
            </x14:sparkline>
            <x14:sparkline>
              <xm:f>'Risk Results 1'!B891:B891</xm:f>
              <xm:sqref>C891</xm:sqref>
            </x14:sparkline>
            <x14:sparkline>
              <xm:f>'Risk Results 1'!B892:B892</xm:f>
              <xm:sqref>C892</xm:sqref>
            </x14:sparkline>
            <x14:sparkline>
              <xm:f>'Risk Results 1'!B893:B893</xm:f>
              <xm:sqref>C893</xm:sqref>
            </x14:sparkline>
            <x14:sparkline>
              <xm:f>'Risk Results 1'!B894:B894</xm:f>
              <xm:sqref>C894</xm:sqref>
            </x14:sparkline>
            <x14:sparkline>
              <xm:f>'Risk Results 1'!B895:B895</xm:f>
              <xm:sqref>C895</xm:sqref>
            </x14:sparkline>
            <x14:sparkline>
              <xm:f>'Risk Results 1'!B896:B896</xm:f>
              <xm:sqref>C896</xm:sqref>
            </x14:sparkline>
            <x14:sparkline>
              <xm:f>'Risk Results 1'!B897:B897</xm:f>
              <xm:sqref>C897</xm:sqref>
            </x14:sparkline>
            <x14:sparkline>
              <xm:f>'Risk Results 1'!B898:B898</xm:f>
              <xm:sqref>C898</xm:sqref>
            </x14:sparkline>
            <x14:sparkline>
              <xm:f>'Risk Results 1'!B899:B899</xm:f>
              <xm:sqref>C899</xm:sqref>
            </x14:sparkline>
            <x14:sparkline>
              <xm:f>'Risk Results 1'!B900:B900</xm:f>
              <xm:sqref>C900</xm:sqref>
            </x14:sparkline>
            <x14:sparkline>
              <xm:f>'Risk Results 1'!B901:B901</xm:f>
              <xm:sqref>C901</xm:sqref>
            </x14:sparkline>
            <x14:sparkline>
              <xm:f>'Risk Results 1'!B902:B902</xm:f>
              <xm:sqref>C902</xm:sqref>
            </x14:sparkline>
            <x14:sparkline>
              <xm:f>'Risk Results 1'!B903:B903</xm:f>
              <xm:sqref>C903</xm:sqref>
            </x14:sparkline>
            <x14:sparkline>
              <xm:f>'Risk Results 1'!B904:B904</xm:f>
              <xm:sqref>C904</xm:sqref>
            </x14:sparkline>
            <x14:sparkline>
              <xm:f>'Risk Results 1'!B905:B905</xm:f>
              <xm:sqref>C905</xm:sqref>
            </x14:sparkline>
            <x14:sparkline>
              <xm:f>'Risk Results 1'!B906:B906</xm:f>
              <xm:sqref>C906</xm:sqref>
            </x14:sparkline>
            <x14:sparkline>
              <xm:f>'Risk Results 1'!B907:B907</xm:f>
              <xm:sqref>C907</xm:sqref>
            </x14:sparkline>
            <x14:sparkline>
              <xm:f>'Risk Results 1'!B908:B908</xm:f>
              <xm:sqref>C908</xm:sqref>
            </x14:sparkline>
            <x14:sparkline>
              <xm:f>'Risk Results 1'!B909:B909</xm:f>
              <xm:sqref>C909</xm:sqref>
            </x14:sparkline>
            <x14:sparkline>
              <xm:f>'Risk Results 1'!B910:B910</xm:f>
              <xm:sqref>C910</xm:sqref>
            </x14:sparkline>
            <x14:sparkline>
              <xm:f>'Risk Results 1'!B911:B911</xm:f>
              <xm:sqref>C911</xm:sqref>
            </x14:sparkline>
            <x14:sparkline>
              <xm:f>'Risk Results 1'!B912:B912</xm:f>
              <xm:sqref>C912</xm:sqref>
            </x14:sparkline>
            <x14:sparkline>
              <xm:f>'Risk Results 1'!B913:B913</xm:f>
              <xm:sqref>C913</xm:sqref>
            </x14:sparkline>
            <x14:sparkline>
              <xm:f>'Risk Results 1'!B914:B914</xm:f>
              <xm:sqref>C914</xm:sqref>
            </x14:sparkline>
            <x14:sparkline>
              <xm:f>'Risk Results 1'!B915:B915</xm:f>
              <xm:sqref>C915</xm:sqref>
            </x14:sparkline>
            <x14:sparkline>
              <xm:f>'Risk Results 1'!B916:B916</xm:f>
              <xm:sqref>C916</xm:sqref>
            </x14:sparkline>
            <x14:sparkline>
              <xm:f>'Risk Results 1'!B917:B917</xm:f>
              <xm:sqref>C917</xm:sqref>
            </x14:sparkline>
            <x14:sparkline>
              <xm:f>'Risk Results 1'!B918:B918</xm:f>
              <xm:sqref>C918</xm:sqref>
            </x14:sparkline>
            <x14:sparkline>
              <xm:f>'Risk Results 1'!B919:B919</xm:f>
              <xm:sqref>C919</xm:sqref>
            </x14:sparkline>
            <x14:sparkline>
              <xm:f>'Risk Results 1'!B920:B920</xm:f>
              <xm:sqref>C920</xm:sqref>
            </x14:sparkline>
            <x14:sparkline>
              <xm:f>'Risk Results 1'!B921:B921</xm:f>
              <xm:sqref>C921</xm:sqref>
            </x14:sparkline>
            <x14:sparkline>
              <xm:f>'Risk Results 1'!B922:B922</xm:f>
              <xm:sqref>C922</xm:sqref>
            </x14:sparkline>
            <x14:sparkline>
              <xm:f>'Risk Results 1'!B923:B923</xm:f>
              <xm:sqref>C923</xm:sqref>
            </x14:sparkline>
            <x14:sparkline>
              <xm:f>'Risk Results 1'!B924:B924</xm:f>
              <xm:sqref>C924</xm:sqref>
            </x14:sparkline>
            <x14:sparkline>
              <xm:f>'Risk Results 1'!B925:B925</xm:f>
              <xm:sqref>C925</xm:sqref>
            </x14:sparkline>
            <x14:sparkline>
              <xm:f>'Risk Results 1'!B926:B926</xm:f>
              <xm:sqref>C926</xm:sqref>
            </x14:sparkline>
            <x14:sparkline>
              <xm:f>'Risk Results 1'!B927:B927</xm:f>
              <xm:sqref>C927</xm:sqref>
            </x14:sparkline>
            <x14:sparkline>
              <xm:f>'Risk Results 1'!B928:B928</xm:f>
              <xm:sqref>C928</xm:sqref>
            </x14:sparkline>
            <x14:sparkline>
              <xm:f>'Risk Results 1'!B929:B929</xm:f>
              <xm:sqref>C929</xm:sqref>
            </x14:sparkline>
            <x14:sparkline>
              <xm:f>'Risk Results 1'!B930:B930</xm:f>
              <xm:sqref>C930</xm:sqref>
            </x14:sparkline>
            <x14:sparkline>
              <xm:f>'Risk Results 1'!B931:B931</xm:f>
              <xm:sqref>C931</xm:sqref>
            </x14:sparkline>
            <x14:sparkline>
              <xm:f>'Risk Results 1'!B932:B932</xm:f>
              <xm:sqref>C932</xm:sqref>
            </x14:sparkline>
            <x14:sparkline>
              <xm:f>'Risk Results 1'!B933:B933</xm:f>
              <xm:sqref>C933</xm:sqref>
            </x14:sparkline>
            <x14:sparkline>
              <xm:f>'Risk Results 1'!B934:B934</xm:f>
              <xm:sqref>C934</xm:sqref>
            </x14:sparkline>
            <x14:sparkline>
              <xm:f>'Risk Results 1'!B935:B935</xm:f>
              <xm:sqref>C935</xm:sqref>
            </x14:sparkline>
            <x14:sparkline>
              <xm:f>'Risk Results 1'!B936:B936</xm:f>
              <xm:sqref>C936</xm:sqref>
            </x14:sparkline>
            <x14:sparkline>
              <xm:f>'Risk Results 1'!B937:B937</xm:f>
              <xm:sqref>C937</xm:sqref>
            </x14:sparkline>
            <x14:sparkline>
              <xm:f>'Risk Results 1'!B938:B938</xm:f>
              <xm:sqref>C938</xm:sqref>
            </x14:sparkline>
            <x14:sparkline>
              <xm:f>'Risk Results 1'!B939:B939</xm:f>
              <xm:sqref>C939</xm:sqref>
            </x14:sparkline>
            <x14:sparkline>
              <xm:f>'Risk Results 1'!B940:B940</xm:f>
              <xm:sqref>C940</xm:sqref>
            </x14:sparkline>
            <x14:sparkline>
              <xm:f>'Risk Results 1'!B941:B941</xm:f>
              <xm:sqref>C941</xm:sqref>
            </x14:sparkline>
            <x14:sparkline>
              <xm:f>'Risk Results 1'!B942:B942</xm:f>
              <xm:sqref>C942</xm:sqref>
            </x14:sparkline>
            <x14:sparkline>
              <xm:f>'Risk Results 1'!B943:B943</xm:f>
              <xm:sqref>C943</xm:sqref>
            </x14:sparkline>
            <x14:sparkline>
              <xm:f>'Risk Results 1'!B944:B944</xm:f>
              <xm:sqref>C944</xm:sqref>
            </x14:sparkline>
            <x14:sparkline>
              <xm:f>'Risk Results 1'!B945:B945</xm:f>
              <xm:sqref>C945</xm:sqref>
            </x14:sparkline>
            <x14:sparkline>
              <xm:f>'Risk Results 1'!B946:B946</xm:f>
              <xm:sqref>C946</xm:sqref>
            </x14:sparkline>
            <x14:sparkline>
              <xm:f>'Risk Results 1'!B947:B947</xm:f>
              <xm:sqref>C947</xm:sqref>
            </x14:sparkline>
            <x14:sparkline>
              <xm:f>'Risk Results 1'!B948:B948</xm:f>
              <xm:sqref>C948</xm:sqref>
            </x14:sparkline>
            <x14:sparkline>
              <xm:f>'Risk Results 1'!B949:B949</xm:f>
              <xm:sqref>C949</xm:sqref>
            </x14:sparkline>
            <x14:sparkline>
              <xm:f>'Risk Results 1'!B950:B950</xm:f>
              <xm:sqref>C950</xm:sqref>
            </x14:sparkline>
            <x14:sparkline>
              <xm:f>'Risk Results 1'!B951:B951</xm:f>
              <xm:sqref>C951</xm:sqref>
            </x14:sparkline>
            <x14:sparkline>
              <xm:f>'Risk Results 1'!B952:B952</xm:f>
              <xm:sqref>C952</xm:sqref>
            </x14:sparkline>
            <x14:sparkline>
              <xm:f>'Risk Results 1'!B953:B953</xm:f>
              <xm:sqref>C953</xm:sqref>
            </x14:sparkline>
            <x14:sparkline>
              <xm:f>'Risk Results 1'!B954:B954</xm:f>
              <xm:sqref>C954</xm:sqref>
            </x14:sparkline>
            <x14:sparkline>
              <xm:f>'Risk Results 1'!B955:B955</xm:f>
              <xm:sqref>C955</xm:sqref>
            </x14:sparkline>
            <x14:sparkline>
              <xm:f>'Risk Results 1'!B956:B956</xm:f>
              <xm:sqref>C956</xm:sqref>
            </x14:sparkline>
            <x14:sparkline>
              <xm:f>'Risk Results 1'!B957:B957</xm:f>
              <xm:sqref>C957</xm:sqref>
            </x14:sparkline>
            <x14:sparkline>
              <xm:f>'Risk Results 1'!B958:B958</xm:f>
              <xm:sqref>C958</xm:sqref>
            </x14:sparkline>
            <x14:sparkline>
              <xm:f>'Risk Results 1'!B959:B959</xm:f>
              <xm:sqref>C959</xm:sqref>
            </x14:sparkline>
            <x14:sparkline>
              <xm:f>'Risk Results 1'!B960:B960</xm:f>
              <xm:sqref>C960</xm:sqref>
            </x14:sparkline>
            <x14:sparkline>
              <xm:f>'Risk Results 1'!B961:B961</xm:f>
              <xm:sqref>C961</xm:sqref>
            </x14:sparkline>
            <x14:sparkline>
              <xm:f>'Risk Results 1'!B962:B962</xm:f>
              <xm:sqref>C962</xm:sqref>
            </x14:sparkline>
            <x14:sparkline>
              <xm:f>'Risk Results 1'!B963:B963</xm:f>
              <xm:sqref>C963</xm:sqref>
            </x14:sparkline>
            <x14:sparkline>
              <xm:f>'Risk Results 1'!B964:B964</xm:f>
              <xm:sqref>C964</xm:sqref>
            </x14:sparkline>
            <x14:sparkline>
              <xm:f>'Risk Results 1'!B965:B965</xm:f>
              <xm:sqref>C965</xm:sqref>
            </x14:sparkline>
            <x14:sparkline>
              <xm:f>'Risk Results 1'!B966:B966</xm:f>
              <xm:sqref>C966</xm:sqref>
            </x14:sparkline>
            <x14:sparkline>
              <xm:f>'Risk Results 1'!B967:B967</xm:f>
              <xm:sqref>C967</xm:sqref>
            </x14:sparkline>
            <x14:sparkline>
              <xm:f>'Risk Results 1'!B968:B968</xm:f>
              <xm:sqref>C968</xm:sqref>
            </x14:sparkline>
            <x14:sparkline>
              <xm:f>'Risk Results 1'!B969:B969</xm:f>
              <xm:sqref>C969</xm:sqref>
            </x14:sparkline>
            <x14:sparkline>
              <xm:f>'Risk Results 1'!B970:B970</xm:f>
              <xm:sqref>C970</xm:sqref>
            </x14:sparkline>
            <x14:sparkline>
              <xm:f>'Risk Results 1'!B971:B971</xm:f>
              <xm:sqref>C971</xm:sqref>
            </x14:sparkline>
            <x14:sparkline>
              <xm:f>'Risk Results 1'!B972:B972</xm:f>
              <xm:sqref>C972</xm:sqref>
            </x14:sparkline>
            <x14:sparkline>
              <xm:f>'Risk Results 1'!B973:B973</xm:f>
              <xm:sqref>C973</xm:sqref>
            </x14:sparkline>
            <x14:sparkline>
              <xm:f>'Risk Results 1'!B974:B974</xm:f>
              <xm:sqref>C974</xm:sqref>
            </x14:sparkline>
            <x14:sparkline>
              <xm:f>'Risk Results 1'!B975:B975</xm:f>
              <xm:sqref>C975</xm:sqref>
            </x14:sparkline>
            <x14:sparkline>
              <xm:f>'Risk Results 1'!B976:B976</xm:f>
              <xm:sqref>C976</xm:sqref>
            </x14:sparkline>
            <x14:sparkline>
              <xm:f>'Risk Results 1'!B977:B977</xm:f>
              <xm:sqref>C977</xm:sqref>
            </x14:sparkline>
            <x14:sparkline>
              <xm:f>'Risk Results 1'!B978:B978</xm:f>
              <xm:sqref>C978</xm:sqref>
            </x14:sparkline>
            <x14:sparkline>
              <xm:f>'Risk Results 1'!B979:B979</xm:f>
              <xm:sqref>C979</xm:sqref>
            </x14:sparkline>
            <x14:sparkline>
              <xm:f>'Risk Results 1'!B980:B980</xm:f>
              <xm:sqref>C980</xm:sqref>
            </x14:sparkline>
            <x14:sparkline>
              <xm:f>'Risk Results 1'!B981:B981</xm:f>
              <xm:sqref>C981</xm:sqref>
            </x14:sparkline>
            <x14:sparkline>
              <xm:f>'Risk Results 1'!B982:B982</xm:f>
              <xm:sqref>C982</xm:sqref>
            </x14:sparkline>
            <x14:sparkline>
              <xm:f>'Risk Results 1'!B983:B983</xm:f>
              <xm:sqref>C983</xm:sqref>
            </x14:sparkline>
            <x14:sparkline>
              <xm:f>'Risk Results 1'!B984:B984</xm:f>
              <xm:sqref>C984</xm:sqref>
            </x14:sparkline>
            <x14:sparkline>
              <xm:f>'Risk Results 1'!B985:B985</xm:f>
              <xm:sqref>C985</xm:sqref>
            </x14:sparkline>
            <x14:sparkline>
              <xm:f>'Risk Results 1'!B986:B986</xm:f>
              <xm:sqref>C986</xm:sqref>
            </x14:sparkline>
            <x14:sparkline>
              <xm:f>'Risk Results 1'!B987:B987</xm:f>
              <xm:sqref>C987</xm:sqref>
            </x14:sparkline>
            <x14:sparkline>
              <xm:f>'Risk Results 1'!B988:B988</xm:f>
              <xm:sqref>C988</xm:sqref>
            </x14:sparkline>
            <x14:sparkline>
              <xm:f>'Risk Results 1'!B989:B989</xm:f>
              <xm:sqref>C989</xm:sqref>
            </x14:sparkline>
            <x14:sparkline>
              <xm:f>'Risk Results 1'!B990:B990</xm:f>
              <xm:sqref>C990</xm:sqref>
            </x14:sparkline>
            <x14:sparkline>
              <xm:f>'Risk Results 1'!B991:B991</xm:f>
              <xm:sqref>C991</xm:sqref>
            </x14:sparkline>
            <x14:sparkline>
              <xm:f>'Risk Results 1'!B992:B992</xm:f>
              <xm:sqref>C992</xm:sqref>
            </x14:sparkline>
            <x14:sparkline>
              <xm:f>'Risk Results 1'!B993:B993</xm:f>
              <xm:sqref>C993</xm:sqref>
            </x14:sparkline>
            <x14:sparkline>
              <xm:f>'Risk Results 1'!B994:B994</xm:f>
              <xm:sqref>C994</xm:sqref>
            </x14:sparkline>
            <x14:sparkline>
              <xm:f>'Risk Results 1'!B995:B995</xm:f>
              <xm:sqref>C995</xm:sqref>
            </x14:sparkline>
            <x14:sparkline>
              <xm:f>'Risk Results 1'!B996:B996</xm:f>
              <xm:sqref>C996</xm:sqref>
            </x14:sparkline>
            <x14:sparkline>
              <xm:f>'Risk Results 1'!B997:B997</xm:f>
              <xm:sqref>C997</xm:sqref>
            </x14:sparkline>
            <x14:sparkline>
              <xm:f>'Risk Results 1'!B998:B998</xm:f>
              <xm:sqref>C998</xm:sqref>
            </x14:sparkline>
            <x14:sparkline>
              <xm:f>'Risk Results 1'!B999:B999</xm:f>
              <xm:sqref>C999</xm:sqref>
            </x14:sparkline>
            <x14:sparkline>
              <xm:f>'Risk Results 1'!B1000:B1000</xm:f>
              <xm:sqref>C1000</xm:sqref>
            </x14:sparkline>
            <x14:sparkline>
              <xm:f>'Risk Results 1'!B1001:B1001</xm:f>
              <xm:sqref>C1001</xm:sqref>
            </x14:sparkline>
            <x14:sparkline>
              <xm:f>'Risk Results 1'!B1002:B1002</xm:f>
              <xm:sqref>C1002</xm:sqref>
            </x14:sparkline>
            <x14:sparkline>
              <xm:f>'Risk Results 1'!B1003:B1003</xm:f>
              <xm:sqref>C1003</xm:sqref>
            </x14:sparkline>
          </x14:sparklines>
        </x14:sparklineGroup>
      </x14:sparklineGroups>
    </ext>
  </extLst>
</worksheet>
</file>

<file path=customUI/_rels/customUI14.xml.rels><?xml version="1.0" encoding="UTF-8" standalone="yes"?>
<Relationships xmlns="http://schemas.openxmlformats.org/package/2006/relationships"><Relationship Id="icons8-input-32" Type="http://schemas.openxmlformats.org/officeDocument/2006/relationships/image" Target="images/icons8-input-32.png"/><Relationship Id="icons8-cancel-32" Type="http://schemas.openxmlformats.org/officeDocument/2006/relationships/image" Target="images/icons8-cancel-32.png"/><Relationship Id="icons8-dice-32" Type="http://schemas.openxmlformats.org/officeDocument/2006/relationships/image" Target="images/icons8-dice-32.png"/><Relationship Id="icons8-about-32" Type="http://schemas.openxmlformats.org/officeDocument/2006/relationships/image" Target="images/icons8-about-32.png"/><Relationship Id="icons8-normal-distribution-histogram-32" Type="http://schemas.openxmlformats.org/officeDocument/2006/relationships/image" Target="images/icons8-normal-distribution-histogram-32.png"/><Relationship Id="icons8-settings-32" Type="http://schemas.openxmlformats.org/officeDocument/2006/relationships/image" Target="images/icons8-settings-32.png"/><Relationship Id="icons8-exercise-32" Type="http://schemas.openxmlformats.org/officeDocument/2006/relationships/image" Target="images/icons8-exercise-32.png"/></Relationships>
</file>

<file path=customUI/customUI14.xml><?xml version="1.0" encoding="utf-8"?>
<customUI xmlns="http://schemas.microsoft.com/office/2009/07/customui" onLoad="OnRibbonLoad">
  <ribbon>
    <tabs>
      <tab id="XLRiskTab" label="XLRisk">
        <group id="GrpSettings" label="Settings">
          <button id="BtnSetup" label="Setup" size="large" onAction="RibbonShowOptions" getEnabled="RibbonGetEnabled" image="icons8-settings-32" screentip="Setup XLRisk"/>
          <toggleButton id="BtnSamples" label="Show Samples" size="large" onAction="RibbonShowSamples" getEnabled="RibbonGetEnabled" image="icons8-dice-32" screentip="Show random samples of distributions instead of means" getPressed="RibbonShowSamplesGetPressed"/>
        </group>
        <group id="GrpSimConfig" label="Simulation Configuration">
          <button id="BtnAddOutput" label="Add Output" size="large" onAction="RibbonAddOutput" getEnabled="RibbonGetEnabled" image="icons8-input-32" screentip="Add selected cells to simulation outputs"/>
          <comboBox id="ComboIterations" label="Iterations:" screentip="Select number of iterations" onChange="RibbonSetIterations" getEnabled="RibbonGetEnabled" getText="RibbonIterationsText">
            <item id="cbItem100" label="100"/>
            <item id="cbItem1000" label="1000"/>
            <item id="cbItem10000" label="10000"/>
          </comboBox>
        </group>
        <group id="GrpRunning" label="Running simulations">
          <button id="BtnRun" label="Run" size="large" onAction="RibbonSimulate" getEnabled="RibbonGetEnabled" image="icons8-exercise-32" screentip="Run Simulation with current settings"/>
          <toggleButton id="BtnStop" label="Stop" size="large" onAction="RibbonStopSim" getEnabled="RibbonGetEnabled" image="icons8-cancel-32" screentip="Interrupt/Stop simulation"/>
        </group>
        <group id="GrpInfo" label="XLRisk Info">
          <button id="BtnAbout" label="About.." size="large" onAction="RibbonShowAboutBox" image="icons8-about-32" screentip="Show info about XLRis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Sheet1</vt:lpstr>
      <vt:lpstr>XLRisk</vt:lpstr>
      <vt:lpstr>Risk Results 1</vt:lpstr>
      <vt:lpstr>Iterations</vt:lpstr>
      <vt:lpstr>RiskInputs</vt:lpstr>
      <vt:lpstr>RiskOutputs</vt:lpstr>
      <vt:lpstr>ScreenUpdate</vt:lpstr>
      <vt:lpstr>Seed</vt:lpstr>
      <vt:lpstr>XLRiskSetup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Kiriakos Vlahos</dc:creator>
  <cp:lastModifiedBy>Kiriakos Vlahos</cp:lastModifiedBy>
  <dcterms:created xsi:type="dcterms:W3CDTF">2019-02-04T04:13:45Z</dcterms:created>
  <dcterms:modified xsi:type="dcterms:W3CDTF">2019-03-15T03:51:43Z</dcterms:modified>
</cp:coreProperties>
</file>